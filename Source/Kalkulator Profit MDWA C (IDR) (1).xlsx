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2570A5DF-1D97-2D43-B828-7E621E57493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MDWA C 20 - 5 pay (LP)" sheetId="13" r:id="rId1"/>
    <sheet name="MDWA C 20 - 5 pay (BP)" sheetId="12" r:id="rId2"/>
    <sheet name="MDWA C 20 - 5 pay (SBP)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3" l="1"/>
  <c r="C38" i="13"/>
  <c r="C9" i="13"/>
  <c r="C10" i="13"/>
  <c r="C14" i="13"/>
  <c r="B19" i="13"/>
  <c r="D9" i="13"/>
  <c r="D10" i="13"/>
  <c r="D14" i="13"/>
  <c r="B20" i="13"/>
  <c r="B21" i="13"/>
  <c r="B22" i="13"/>
  <c r="B23" i="13"/>
  <c r="B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3" i="13"/>
  <c r="D17" i="13"/>
  <c r="D12" i="12"/>
  <c r="C12" i="12"/>
  <c r="D38" i="12"/>
  <c r="C38" i="12"/>
  <c r="C9" i="12"/>
  <c r="C10" i="12"/>
  <c r="C14" i="12"/>
  <c r="B19" i="12"/>
  <c r="D9" i="12"/>
  <c r="D10" i="12"/>
  <c r="D14" i="12"/>
  <c r="B20" i="12"/>
  <c r="B21" i="12"/>
  <c r="B22" i="12"/>
  <c r="B23" i="12"/>
  <c r="B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3" i="12"/>
  <c r="D17" i="12"/>
  <c r="D13" i="7"/>
  <c r="C13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D38" i="7"/>
  <c r="C3" i="7"/>
  <c r="B21" i="7"/>
  <c r="B22" i="7"/>
  <c r="B23" i="7"/>
  <c r="C9" i="7"/>
  <c r="C10" i="7"/>
  <c r="C14" i="7"/>
  <c r="B19" i="7"/>
  <c r="D9" i="7"/>
  <c r="D10" i="7"/>
  <c r="D14" i="7"/>
  <c r="B20" i="7"/>
  <c r="B38" i="7"/>
  <c r="D17" i="7"/>
</calcChain>
</file>

<file path=xl/sharedStrings.xml><?xml version="1.0" encoding="utf-8"?>
<sst xmlns="http://schemas.openxmlformats.org/spreadsheetml/2006/main" count="57" uniqueCount="18">
  <si>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</si>
  <si>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</si>
  <si>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</si>
  <si>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</si>
  <si>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</si>
  <si>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</si>
  <si>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</si>
  <si>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</si>
  <si>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</si>
  <si>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</si>
  <si>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</si>
  <si>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Trip Austria (BPC)</t>
  </si>
  <si>
    <t>OR BP</t>
  </si>
  <si>
    <t>OR SBP</t>
  </si>
  <si>
    <t>Tahapan Tahunan</t>
  </si>
  <si>
    <t>Manfaat Akhir Kontrak</t>
  </si>
  <si>
    <t>MDWA C, IDR, Term 20 Tahun</t>
  </si>
  <si>
    <t>Reguler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</si>
</sst>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2" borderId="0" xfId="0" applyFont="1" applyFill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  <xf numFmtId="10" fontId="0" fillId="2" borderId="0" xfId="0" applyNumberFormat="1" applyFill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D885-B54E-0847-8F3D-80B82B2738A8}">
  <dimension ref="A2:G45"/>
  <sheetViews>
    <sheetView tabSelected="1" workbookViewId="0">
      <selection activeCell="D12" sqref="D12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16</v>
      </c>
    </row>
    <row r="3" spans="2:4" x14ac:dyDescent="0.2">
      <c r="B3" s="2" t="s">
        <v>8</v>
      </c>
      <c r="C3" s="16">
        <f>SUM(C23:C38)+D38</f>
        <v>4300000000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500000000</v>
      </c>
      <c r="D6" s="17">
        <v>500000000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11</v>
      </c>
      <c r="C8" s="10">
        <v>45000000</v>
      </c>
      <c r="D8" s="4"/>
    </row>
    <row r="9" spans="2:4" x14ac:dyDescent="0.2">
      <c r="B9" s="5" t="s">
        <v>0</v>
      </c>
      <c r="C9" s="18">
        <f>C6*10%</f>
        <v>50000000</v>
      </c>
      <c r="D9" s="18">
        <f>D6*5%</f>
        <v>25000000</v>
      </c>
    </row>
    <row r="10" spans="2:4" x14ac:dyDescent="0.2">
      <c r="B10" s="5" t="s">
        <v>1</v>
      </c>
      <c r="C10" s="11">
        <f>30%*C9</f>
        <v>15000000</v>
      </c>
      <c r="D10" s="11">
        <f>30%*D9</f>
        <v>7500000</v>
      </c>
    </row>
    <row r="11" spans="2:4" x14ac:dyDescent="0.2">
      <c r="B11" s="5" t="s">
        <v>17</v>
      </c>
      <c r="C11" s="11"/>
      <c r="D11" s="11"/>
    </row>
    <row r="12" spans="2:4" x14ac:dyDescent="0.2">
      <c r="B12" s="5" t="s">
        <v>12</v>
      </c>
      <c r="C12" s="11"/>
      <c r="D12" s="11"/>
    </row>
    <row r="13" spans="2:4" x14ac:dyDescent="0.2">
      <c r="B13" s="5" t="s">
        <v>13</v>
      </c>
      <c r="C13" s="11"/>
      <c r="D13" s="11"/>
    </row>
    <row r="14" spans="2:4" x14ac:dyDescent="0.2">
      <c r="B14" s="12" t="s">
        <v>2</v>
      </c>
      <c r="C14" s="13">
        <f>C6-SUM(C7:C13)</f>
        <v>365000000</v>
      </c>
      <c r="D14" s="13">
        <f>D6-SUM(D7:D13)</f>
        <v>467500000</v>
      </c>
    </row>
    <row r="16" spans="2:4" x14ac:dyDescent="0.2">
      <c r="D16" s="14" t="s">
        <v>7</v>
      </c>
    </row>
    <row r="17" spans="1:7" x14ac:dyDescent="0.2">
      <c r="D17" s="15">
        <f>(C3-B38)/B38/20</f>
        <v>4.2175777063236872E-2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365000000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467500000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500000000</v>
      </c>
      <c r="C23" s="6">
        <f>C$6*20%</f>
        <v>100000000</v>
      </c>
      <c r="D23" s="6"/>
      <c r="E23" s="3"/>
      <c r="G23" s="19"/>
    </row>
    <row r="24" spans="1:7" x14ac:dyDescent="0.2">
      <c r="A24" s="4">
        <v>6</v>
      </c>
      <c r="C24" s="6">
        <f t="shared" ref="C24:C38" si="0">C$6*20%</f>
        <v>100000000</v>
      </c>
      <c r="D24" s="6"/>
      <c r="E24" s="3"/>
    </row>
    <row r="25" spans="1:7" x14ac:dyDescent="0.2">
      <c r="A25" s="4">
        <v>7</v>
      </c>
      <c r="B25" s="6"/>
      <c r="C25" s="6">
        <f t="shared" si="0"/>
        <v>100000000</v>
      </c>
      <c r="D25" s="6"/>
      <c r="E25" s="3"/>
    </row>
    <row r="26" spans="1:7" x14ac:dyDescent="0.2">
      <c r="A26" s="4">
        <v>8</v>
      </c>
      <c r="B26" s="6"/>
      <c r="C26" s="6">
        <f t="shared" si="0"/>
        <v>100000000</v>
      </c>
      <c r="D26" s="6"/>
      <c r="E26" s="3"/>
    </row>
    <row r="27" spans="1:7" x14ac:dyDescent="0.2">
      <c r="A27" s="4">
        <v>9</v>
      </c>
      <c r="B27" s="6"/>
      <c r="C27" s="6">
        <f t="shared" si="0"/>
        <v>100000000</v>
      </c>
      <c r="D27" s="6"/>
      <c r="E27" s="3"/>
    </row>
    <row r="28" spans="1:7" x14ac:dyDescent="0.2">
      <c r="A28" s="4">
        <v>10</v>
      </c>
      <c r="B28" s="6"/>
      <c r="C28" s="6">
        <f t="shared" si="0"/>
        <v>100000000</v>
      </c>
      <c r="D28" s="6"/>
      <c r="E28" s="3"/>
    </row>
    <row r="29" spans="1:7" x14ac:dyDescent="0.2">
      <c r="A29" s="4">
        <v>11</v>
      </c>
      <c r="B29" s="6"/>
      <c r="C29" s="6">
        <f t="shared" si="0"/>
        <v>100000000</v>
      </c>
      <c r="D29" s="6"/>
      <c r="E29" s="3"/>
    </row>
    <row r="30" spans="1:7" x14ac:dyDescent="0.2">
      <c r="A30" s="4">
        <v>12</v>
      </c>
      <c r="B30" s="6"/>
      <c r="C30" s="6">
        <f t="shared" si="0"/>
        <v>100000000</v>
      </c>
      <c r="D30" s="6"/>
      <c r="E30" s="3"/>
    </row>
    <row r="31" spans="1:7" x14ac:dyDescent="0.2">
      <c r="A31" s="4">
        <v>13</v>
      </c>
      <c r="B31" s="6"/>
      <c r="C31" s="6">
        <f t="shared" si="0"/>
        <v>100000000</v>
      </c>
      <c r="D31" s="6"/>
      <c r="E31" s="3"/>
    </row>
    <row r="32" spans="1:7" x14ac:dyDescent="0.2">
      <c r="A32" s="4">
        <v>14</v>
      </c>
      <c r="B32" s="6"/>
      <c r="C32" s="6">
        <f t="shared" si="0"/>
        <v>100000000</v>
      </c>
      <c r="D32" s="6"/>
      <c r="E32" s="3"/>
    </row>
    <row r="33" spans="1:5" x14ac:dyDescent="0.2">
      <c r="A33" s="4">
        <v>15</v>
      </c>
      <c r="B33" s="6"/>
      <c r="C33" s="6">
        <f t="shared" si="0"/>
        <v>100000000</v>
      </c>
      <c r="D33" s="6"/>
      <c r="E33" s="3"/>
    </row>
    <row r="34" spans="1:5" x14ac:dyDescent="0.2">
      <c r="A34" s="4">
        <v>16</v>
      </c>
      <c r="B34" s="6"/>
      <c r="C34" s="6">
        <f t="shared" si="0"/>
        <v>100000000</v>
      </c>
      <c r="D34" s="6"/>
      <c r="E34" s="3"/>
    </row>
    <row r="35" spans="1:5" x14ac:dyDescent="0.2">
      <c r="A35" s="4">
        <v>17</v>
      </c>
      <c r="B35" s="6"/>
      <c r="C35" s="6">
        <f t="shared" si="0"/>
        <v>100000000</v>
      </c>
      <c r="D35" s="6"/>
      <c r="E35" s="3"/>
    </row>
    <row r="36" spans="1:5" x14ac:dyDescent="0.2">
      <c r="A36" s="4">
        <v>18</v>
      </c>
      <c r="B36" s="6"/>
      <c r="C36" s="6">
        <f t="shared" si="0"/>
        <v>100000000</v>
      </c>
      <c r="D36" s="6"/>
      <c r="E36" s="3"/>
    </row>
    <row r="37" spans="1:5" x14ac:dyDescent="0.2">
      <c r="A37" s="4">
        <v>19</v>
      </c>
      <c r="B37" s="6"/>
      <c r="C37" s="6">
        <f t="shared" si="0"/>
        <v>100000000</v>
      </c>
      <c r="D37" s="6"/>
      <c r="E37" s="3"/>
    </row>
    <row r="38" spans="1:5" x14ac:dyDescent="0.2">
      <c r="A38" s="4">
        <v>20</v>
      </c>
      <c r="B38" s="6">
        <f>B19+B20+B21+B22+B23</f>
        <v>2332500000</v>
      </c>
      <c r="C38" s="6">
        <f t="shared" si="0"/>
        <v>100000000</v>
      </c>
      <c r="D38" s="6">
        <f>C6*540%</f>
        <v>2700000000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6B30-8D71-584F-8006-B65921B1E2BC}">
  <dimension ref="A2:G45"/>
  <sheetViews>
    <sheetView workbookViewId="0">
      <selection activeCell="D12" sqref="D12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16</v>
      </c>
    </row>
    <row r="3" spans="2:4" x14ac:dyDescent="0.2">
      <c r="B3" s="2" t="s">
        <v>8</v>
      </c>
      <c r="C3" s="16">
        <f>SUM(C23:C38)+D38</f>
        <v>4300000000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500000000</v>
      </c>
      <c r="D6" s="17">
        <v>500000000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11</v>
      </c>
      <c r="C8" s="10">
        <v>45000000</v>
      </c>
      <c r="D8" s="4"/>
    </row>
    <row r="9" spans="2:4" x14ac:dyDescent="0.2">
      <c r="B9" s="5" t="s">
        <v>0</v>
      </c>
      <c r="C9" s="18">
        <f>C6*10%</f>
        <v>50000000</v>
      </c>
      <c r="D9" s="18">
        <f>D6*5%</f>
        <v>25000000</v>
      </c>
    </row>
    <row r="10" spans="2:4" x14ac:dyDescent="0.2">
      <c r="B10" s="5" t="s">
        <v>1</v>
      </c>
      <c r="C10" s="11">
        <f>30%*C9</f>
        <v>15000000</v>
      </c>
      <c r="D10" s="11">
        <f>30%*D9</f>
        <v>7500000</v>
      </c>
    </row>
    <row r="11" spans="2:4" x14ac:dyDescent="0.2">
      <c r="B11" s="5" t="s">
        <v>17</v>
      </c>
      <c r="C11" s="11"/>
      <c r="D11" s="11"/>
    </row>
    <row r="12" spans="2:4" x14ac:dyDescent="0.2">
      <c r="B12" s="5" t="s">
        <v>12</v>
      </c>
      <c r="C12" s="11">
        <f>50%*C9</f>
        <v>25000000</v>
      </c>
      <c r="D12" s="11">
        <f>25%*D9</f>
        <v>6250000</v>
      </c>
    </row>
    <row r="13" spans="2:4" x14ac:dyDescent="0.2">
      <c r="B13" s="5" t="s">
        <v>13</v>
      </c>
      <c r="C13" s="11"/>
      <c r="D13" s="11"/>
    </row>
    <row r="14" spans="2:4" x14ac:dyDescent="0.2">
      <c r="B14" s="12" t="s">
        <v>2</v>
      </c>
      <c r="C14" s="13">
        <f>C6-SUM(C7:C13)</f>
        <v>340000000</v>
      </c>
      <c r="D14" s="13">
        <f>D6-SUM(D7:D13)</f>
        <v>461250000</v>
      </c>
    </row>
    <row r="16" spans="2:4" x14ac:dyDescent="0.2">
      <c r="D16" s="14" t="s">
        <v>7</v>
      </c>
    </row>
    <row r="17" spans="1:7" x14ac:dyDescent="0.2">
      <c r="D17" s="15">
        <f>(C3-B38)/B38/20</f>
        <v>4.3427485062466055E-2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340000000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461250000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500000000</v>
      </c>
      <c r="C23" s="6">
        <f>C$6*20%</f>
        <v>100000000</v>
      </c>
      <c r="D23" s="6"/>
      <c r="E23" s="3"/>
      <c r="G23" s="19"/>
    </row>
    <row r="24" spans="1:7" x14ac:dyDescent="0.2">
      <c r="A24" s="4">
        <v>6</v>
      </c>
      <c r="C24" s="6">
        <f t="shared" ref="C24:C38" si="0">C$6*20%</f>
        <v>100000000</v>
      </c>
      <c r="D24" s="6"/>
      <c r="E24" s="3"/>
    </row>
    <row r="25" spans="1:7" x14ac:dyDescent="0.2">
      <c r="A25" s="4">
        <v>7</v>
      </c>
      <c r="B25" s="6"/>
      <c r="C25" s="6">
        <f t="shared" si="0"/>
        <v>100000000</v>
      </c>
      <c r="D25" s="6"/>
      <c r="E25" s="3"/>
    </row>
    <row r="26" spans="1:7" x14ac:dyDescent="0.2">
      <c r="A26" s="4">
        <v>8</v>
      </c>
      <c r="B26" s="6"/>
      <c r="C26" s="6">
        <f t="shared" si="0"/>
        <v>100000000</v>
      </c>
      <c r="D26" s="6"/>
      <c r="E26" s="3"/>
    </row>
    <row r="27" spans="1:7" x14ac:dyDescent="0.2">
      <c r="A27" s="4">
        <v>9</v>
      </c>
      <c r="B27" s="6"/>
      <c r="C27" s="6">
        <f t="shared" si="0"/>
        <v>100000000</v>
      </c>
      <c r="D27" s="6"/>
      <c r="E27" s="3"/>
    </row>
    <row r="28" spans="1:7" x14ac:dyDescent="0.2">
      <c r="A28" s="4">
        <v>10</v>
      </c>
      <c r="B28" s="6"/>
      <c r="C28" s="6">
        <f t="shared" si="0"/>
        <v>100000000</v>
      </c>
      <c r="D28" s="6"/>
      <c r="E28" s="3"/>
    </row>
    <row r="29" spans="1:7" x14ac:dyDescent="0.2">
      <c r="A29" s="4">
        <v>11</v>
      </c>
      <c r="B29" s="6"/>
      <c r="C29" s="6">
        <f t="shared" si="0"/>
        <v>100000000</v>
      </c>
      <c r="D29" s="6"/>
      <c r="E29" s="3"/>
    </row>
    <row r="30" spans="1:7" x14ac:dyDescent="0.2">
      <c r="A30" s="4">
        <v>12</v>
      </c>
      <c r="B30" s="6"/>
      <c r="C30" s="6">
        <f t="shared" si="0"/>
        <v>100000000</v>
      </c>
      <c r="D30" s="6"/>
      <c r="E30" s="3"/>
    </row>
    <row r="31" spans="1:7" x14ac:dyDescent="0.2">
      <c r="A31" s="4">
        <v>13</v>
      </c>
      <c r="B31" s="6"/>
      <c r="C31" s="6">
        <f t="shared" si="0"/>
        <v>100000000</v>
      </c>
      <c r="D31" s="6"/>
      <c r="E31" s="3"/>
    </row>
    <row r="32" spans="1:7" x14ac:dyDescent="0.2">
      <c r="A32" s="4">
        <v>14</v>
      </c>
      <c r="B32" s="6"/>
      <c r="C32" s="6">
        <f t="shared" si="0"/>
        <v>100000000</v>
      </c>
      <c r="D32" s="6"/>
      <c r="E32" s="3"/>
    </row>
    <row r="33" spans="1:5" x14ac:dyDescent="0.2">
      <c r="A33" s="4">
        <v>15</v>
      </c>
      <c r="B33" s="6"/>
      <c r="C33" s="6">
        <f t="shared" si="0"/>
        <v>100000000</v>
      </c>
      <c r="D33" s="6"/>
      <c r="E33" s="3"/>
    </row>
    <row r="34" spans="1:5" x14ac:dyDescent="0.2">
      <c r="A34" s="4">
        <v>16</v>
      </c>
      <c r="B34" s="6"/>
      <c r="C34" s="6">
        <f t="shared" si="0"/>
        <v>100000000</v>
      </c>
      <c r="D34" s="6"/>
      <c r="E34" s="3"/>
    </row>
    <row r="35" spans="1:5" x14ac:dyDescent="0.2">
      <c r="A35" s="4">
        <v>17</v>
      </c>
      <c r="B35" s="6"/>
      <c r="C35" s="6">
        <f t="shared" si="0"/>
        <v>100000000</v>
      </c>
      <c r="D35" s="6"/>
      <c r="E35" s="3"/>
    </row>
    <row r="36" spans="1:5" x14ac:dyDescent="0.2">
      <c r="A36" s="4">
        <v>18</v>
      </c>
      <c r="B36" s="6"/>
      <c r="C36" s="6">
        <f t="shared" si="0"/>
        <v>100000000</v>
      </c>
      <c r="D36" s="6"/>
      <c r="E36" s="3"/>
    </row>
    <row r="37" spans="1:5" x14ac:dyDescent="0.2">
      <c r="A37" s="4">
        <v>19</v>
      </c>
      <c r="B37" s="6"/>
      <c r="C37" s="6">
        <f t="shared" si="0"/>
        <v>100000000</v>
      </c>
      <c r="D37" s="6"/>
      <c r="E37" s="3"/>
    </row>
    <row r="38" spans="1:5" x14ac:dyDescent="0.2">
      <c r="A38" s="4">
        <v>20</v>
      </c>
      <c r="B38" s="6">
        <f>B19+B20+B21+B22+B23</f>
        <v>2301250000</v>
      </c>
      <c r="C38" s="6">
        <f t="shared" si="0"/>
        <v>100000000</v>
      </c>
      <c r="D38" s="6">
        <f>C6*540%</f>
        <v>2700000000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C231-38C8-AD42-872D-AFE3CA0EA41B}">
  <dimension ref="A2:G45"/>
  <sheetViews>
    <sheetView workbookViewId="0">
      <selection activeCell="C10" sqref="C10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16</v>
      </c>
    </row>
    <row r="3" spans="2:4" x14ac:dyDescent="0.2">
      <c r="B3" s="2" t="s">
        <v>8</v>
      </c>
      <c r="C3" s="16">
        <f>SUM(C23:C38)+D38</f>
        <v>4300000000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500000000</v>
      </c>
      <c r="D6" s="17">
        <v>500000000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11</v>
      </c>
      <c r="C8" s="10">
        <v>45000000</v>
      </c>
      <c r="D8" s="4"/>
    </row>
    <row r="9" spans="2:4" x14ac:dyDescent="0.2">
      <c r="B9" s="5" t="s">
        <v>0</v>
      </c>
      <c r="C9" s="18">
        <f>C6*10%</f>
        <v>50000000</v>
      </c>
      <c r="D9" s="18">
        <f>D6*5%</f>
        <v>25000000</v>
      </c>
    </row>
    <row r="10" spans="2:4" x14ac:dyDescent="0.2">
      <c r="B10" s="5" t="s">
        <v>1</v>
      </c>
      <c r="C10" s="11">
        <f>30%*C9</f>
        <v>15000000</v>
      </c>
      <c r="D10" s="11">
        <f>30%*D9</f>
        <v>7500000</v>
      </c>
    </row>
    <row r="11" spans="2:4" x14ac:dyDescent="0.2">
      <c r="B11" s="5" t="s">
        <v>17</v>
      </c>
      <c r="C11" s="11"/>
      <c r="D11" s="11"/>
    </row>
    <row r="12" spans="2:4" x14ac:dyDescent="0.2">
      <c r="B12" s="5" t="s">
        <v>12</v>
      </c>
      <c r="C12" s="11"/>
      <c r="D12" s="11"/>
    </row>
    <row r="13" spans="2:4" x14ac:dyDescent="0.2">
      <c r="B13" s="5" t="s">
        <v>13</v>
      </c>
      <c r="C13" s="11">
        <f>100%*C9</f>
        <v>50000000</v>
      </c>
      <c r="D13" s="11">
        <f>50%*D9</f>
        <v>12500000</v>
      </c>
    </row>
    <row r="14" spans="2:4" x14ac:dyDescent="0.2">
      <c r="B14" s="12" t="s">
        <v>2</v>
      </c>
      <c r="C14" s="13">
        <f>C6-SUM(C7:C13)</f>
        <v>315000000</v>
      </c>
      <c r="D14" s="13">
        <f>D6-SUM(D7:D13)</f>
        <v>455000000</v>
      </c>
    </row>
    <row r="16" spans="2:4" x14ac:dyDescent="0.2">
      <c r="D16" s="14" t="s">
        <v>7</v>
      </c>
    </row>
    <row r="17" spans="1:7" x14ac:dyDescent="0.2">
      <c r="D17" s="15">
        <f>(C3-B38)/B38/20</f>
        <v>4.4713656387665196E-2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315000000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455000000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500000000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500000000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500000000</v>
      </c>
      <c r="C23" s="6">
        <f>C$6*20%</f>
        <v>100000000</v>
      </c>
      <c r="D23" s="6"/>
      <c r="E23" s="3"/>
      <c r="G23" s="19"/>
    </row>
    <row r="24" spans="1:7" x14ac:dyDescent="0.2">
      <c r="A24" s="4">
        <v>6</v>
      </c>
      <c r="C24" s="6">
        <f t="shared" ref="C24:C38" si="0">C$6*20%</f>
        <v>100000000</v>
      </c>
      <c r="D24" s="6"/>
      <c r="E24" s="3"/>
    </row>
    <row r="25" spans="1:7" x14ac:dyDescent="0.2">
      <c r="A25" s="4">
        <v>7</v>
      </c>
      <c r="B25" s="6"/>
      <c r="C25" s="6">
        <f t="shared" si="0"/>
        <v>100000000</v>
      </c>
      <c r="D25" s="6"/>
      <c r="E25" s="3"/>
    </row>
    <row r="26" spans="1:7" x14ac:dyDescent="0.2">
      <c r="A26" s="4">
        <v>8</v>
      </c>
      <c r="B26" s="6"/>
      <c r="C26" s="6">
        <f t="shared" si="0"/>
        <v>100000000</v>
      </c>
      <c r="D26" s="6"/>
      <c r="E26" s="3"/>
    </row>
    <row r="27" spans="1:7" x14ac:dyDescent="0.2">
      <c r="A27" s="4">
        <v>9</v>
      </c>
      <c r="B27" s="6"/>
      <c r="C27" s="6">
        <f t="shared" si="0"/>
        <v>100000000</v>
      </c>
      <c r="D27" s="6"/>
      <c r="E27" s="3"/>
    </row>
    <row r="28" spans="1:7" x14ac:dyDescent="0.2">
      <c r="A28" s="4">
        <v>10</v>
      </c>
      <c r="B28" s="6"/>
      <c r="C28" s="6">
        <f t="shared" si="0"/>
        <v>100000000</v>
      </c>
      <c r="D28" s="6"/>
      <c r="E28" s="3"/>
    </row>
    <row r="29" spans="1:7" x14ac:dyDescent="0.2">
      <c r="A29" s="4">
        <v>11</v>
      </c>
      <c r="B29" s="6"/>
      <c r="C29" s="6">
        <f t="shared" si="0"/>
        <v>100000000</v>
      </c>
      <c r="D29" s="6"/>
      <c r="E29" s="3"/>
    </row>
    <row r="30" spans="1:7" x14ac:dyDescent="0.2">
      <c r="A30" s="4">
        <v>12</v>
      </c>
      <c r="B30" s="6"/>
      <c r="C30" s="6">
        <f t="shared" si="0"/>
        <v>100000000</v>
      </c>
      <c r="D30" s="6"/>
      <c r="E30" s="3"/>
    </row>
    <row r="31" spans="1:7" x14ac:dyDescent="0.2">
      <c r="A31" s="4">
        <v>13</v>
      </c>
      <c r="B31" s="6"/>
      <c r="C31" s="6">
        <f t="shared" si="0"/>
        <v>100000000</v>
      </c>
      <c r="D31" s="6"/>
      <c r="E31" s="3"/>
    </row>
    <row r="32" spans="1:7" x14ac:dyDescent="0.2">
      <c r="A32" s="4">
        <v>14</v>
      </c>
      <c r="B32" s="6"/>
      <c r="C32" s="6">
        <f t="shared" si="0"/>
        <v>100000000</v>
      </c>
      <c r="D32" s="6"/>
      <c r="E32" s="3"/>
    </row>
    <row r="33" spans="1:5" x14ac:dyDescent="0.2">
      <c r="A33" s="4">
        <v>15</v>
      </c>
      <c r="B33" s="6"/>
      <c r="C33" s="6">
        <f t="shared" si="0"/>
        <v>100000000</v>
      </c>
      <c r="D33" s="6"/>
      <c r="E33" s="3"/>
    </row>
    <row r="34" spans="1:5" x14ac:dyDescent="0.2">
      <c r="A34" s="4">
        <v>16</v>
      </c>
      <c r="B34" s="6"/>
      <c r="C34" s="6">
        <f t="shared" si="0"/>
        <v>100000000</v>
      </c>
      <c r="D34" s="6"/>
      <c r="E34" s="3"/>
    </row>
    <row r="35" spans="1:5" x14ac:dyDescent="0.2">
      <c r="A35" s="4">
        <v>17</v>
      </c>
      <c r="B35" s="6"/>
      <c r="C35" s="6">
        <f t="shared" si="0"/>
        <v>100000000</v>
      </c>
      <c r="D35" s="6"/>
      <c r="E35" s="3"/>
    </row>
    <row r="36" spans="1:5" x14ac:dyDescent="0.2">
      <c r="A36" s="4">
        <v>18</v>
      </c>
      <c r="B36" s="6"/>
      <c r="C36" s="6">
        <f t="shared" si="0"/>
        <v>100000000</v>
      </c>
      <c r="D36" s="6"/>
      <c r="E36" s="3"/>
    </row>
    <row r="37" spans="1:5" x14ac:dyDescent="0.2">
      <c r="A37" s="4">
        <v>19</v>
      </c>
      <c r="B37" s="6"/>
      <c r="C37" s="6">
        <f t="shared" si="0"/>
        <v>100000000</v>
      </c>
      <c r="D37" s="6"/>
      <c r="E37" s="3"/>
    </row>
    <row r="38" spans="1:5" x14ac:dyDescent="0.2">
      <c r="A38" s="4">
        <v>20</v>
      </c>
      <c r="B38" s="6">
        <f>B19+B20+B21+B22+B23</f>
        <v>2270000000</v>
      </c>
      <c r="C38" s="6">
        <f t="shared" si="0"/>
        <v>100000000</v>
      </c>
      <c r="D38" s="6">
        <f>C6*540%</f>
        <v>2700000000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customXml/itemProps2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MDWA C 20 - 5 pay (LP)</vt:lpstr>
      <vt:lpstr>MDWA C 20 - 5 pay (BP)</vt:lpstr>
      <vt:lpstr>MDWA C 20 - 5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