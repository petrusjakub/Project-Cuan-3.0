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fc.sharepoint.com/sites/Agency/AGENCY Strategy Team1/Adhoc Project/202308 Kalkulator MDLA MiAction/"/>
    </mc:Choice>
  </mc:AlternateContent>
  <xr:revisionPtr revIDLastSave="0" documentId="13_ncr:41000001_{8C6C3704-0DD3-3D48-83C5-38B365E306C4}" xr6:coauthVersionLast="47" xr6:coauthVersionMax="47" xr10:uidLastSave="{00000000-0000-0000-0000-000000000000}"/>
  <bookViews>
    <workbookView xWindow="0" yWindow="0" windowWidth="14400" windowHeight="15600" activeTab="2" xr2:uid="{00000000-000D-0000-FFFF-FFFF00000000}"/>
  </bookViews>
  <sheets>
    <sheet name="MIFIP UM 55 - 5 pay (LP)" sheetId="15" r:id="rId1"/>
    <sheet name="MIFIP UM 55 - 5 pay (BP)" sheetId="14" r:id="rId2"/>
    <sheet name="MIFIP UM 55 - 5 pay (SBP)" sheetId="1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5" l="1"/>
  <c r="C10" i="15"/>
  <c r="C15" i="15"/>
  <c r="B20" i="15"/>
  <c r="D9" i="15"/>
  <c r="D10" i="15"/>
  <c r="D11" i="15"/>
  <c r="D15" i="15"/>
  <c r="B21" i="15"/>
  <c r="B22" i="15"/>
  <c r="B23" i="15"/>
  <c r="B24" i="15"/>
  <c r="B50" i="15"/>
  <c r="D18" i="15"/>
  <c r="D13" i="14"/>
  <c r="C13" i="14"/>
  <c r="C9" i="14"/>
  <c r="C10" i="14"/>
  <c r="C15" i="14"/>
  <c r="B20" i="14"/>
  <c r="D9" i="14"/>
  <c r="D10" i="14"/>
  <c r="D11" i="14"/>
  <c r="D15" i="14"/>
  <c r="B21" i="14"/>
  <c r="B22" i="14"/>
  <c r="B23" i="14"/>
  <c r="B24" i="14"/>
  <c r="B50" i="14"/>
  <c r="D18" i="14"/>
  <c r="D14" i="13"/>
  <c r="C14" i="13"/>
  <c r="C9" i="13"/>
  <c r="C10" i="13"/>
  <c r="C15" i="13"/>
  <c r="B20" i="13"/>
  <c r="D9" i="13"/>
  <c r="D10" i="13"/>
  <c r="D11" i="13"/>
  <c r="D15" i="13"/>
  <c r="B21" i="13"/>
  <c r="B22" i="13"/>
  <c r="B23" i="13"/>
  <c r="B24" i="13"/>
  <c r="B50" i="13"/>
  <c r="D18" i="13"/>
</calcChain>
</file>

<file path=xl/sharedStrings.xml><?xml version="1.0" encoding="utf-8"?>
<sst xmlns="http://schemas.openxmlformats.org/spreadsheetml/2006/main" count="60" uniqueCount="19">
  <si>
    <t>Komisi</t>
  </si>
  <si>
    <t>Quarterly Bonus</t>
  </si>
  <si>
    <t>Net Premi Tahun 1</t>
  </si>
  <si>
    <t>Premi</t>
  </si>
  <si>
    <t>Tahun 1</t>
  </si>
  <si>
    <t>Tahun 2</t>
  </si>
  <si>
    <t>Tahun</t>
  </si>
  <si>
    <t>% Bunga</t>
  </si>
  <si>
    <t>Manfaat Akhir</t>
  </si>
  <si>
    <t>Perhitungan</t>
  </si>
  <si>
    <t>Trip China (Signature Star)</t>
  </si>
  <si>
    <t>OR BP</t>
  </si>
  <si>
    <t>OR SBP</t>
  </si>
  <si>
    <t>Tahapan Tahunan</t>
  </si>
  <si>
    <t>Manfaat Akhir Kontrak</t>
  </si>
  <si>
    <t>Trip Austria (BCC)</t>
  </si>
  <si>
    <t>Reguler Financing</t>
  </si>
  <si>
    <t>Komisi Renewal Tahun 3 - 5</t>
  </si>
  <si>
    <t>MIFIP MPP 5, Usia 30, Pria, Usia Mapan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</si>
</sst>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64" fontId="0" fillId="2" borderId="0" xfId="1" applyNumberFormat="1" applyFont="1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4" fontId="0" fillId="2" borderId="1" xfId="1" applyNumberFormat="1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2" borderId="0" xfId="0" applyFont="1" applyFill="1"/>
    <xf numFmtId="164" fontId="0" fillId="2" borderId="1" xfId="1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0" fontId="2" fillId="4" borderId="1" xfId="2" applyNumberFormat="1" applyFont="1" applyFill="1" applyBorder="1" applyAlignment="1">
      <alignment horizontal="center"/>
    </xf>
    <xf numFmtId="164" fontId="0" fillId="5" borderId="0" xfId="1" applyNumberFormat="1" applyFont="1" applyFill="1"/>
    <xf numFmtId="164" fontId="0" fillId="5" borderId="1" xfId="1" applyNumberFormat="1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2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3D51-CB80-4845-89F5-3D94D7D74F76}">
  <sheetPr codeName="Sheet1"/>
  <dimension ref="A2:F57"/>
  <sheetViews>
    <sheetView workbookViewId="0">
      <selection activeCell="D13" sqref="D13"/>
    </sheetView>
  </sheetViews>
  <sheetFormatPr defaultColWidth="9.14453125" defaultRowHeight="15" x14ac:dyDescent="0.2"/>
  <cols>
    <col min="1" max="1" width="9.14453125" style="1"/>
    <col min="2" max="2" width="24.88671875" style="2" customWidth="1"/>
    <col min="3" max="3" width="16.54296875" style="2" customWidth="1"/>
    <col min="4" max="4" width="19.7734375" style="2" customWidth="1"/>
    <col min="5" max="5" width="9.14453125" style="2"/>
    <col min="6" max="6" width="13.44921875" style="2" bestFit="1" customWidth="1"/>
    <col min="7" max="7" width="11.97265625" style="2" bestFit="1" customWidth="1"/>
    <col min="8" max="16384" width="9.14453125" style="2"/>
  </cols>
  <sheetData>
    <row r="2" spans="2:4" x14ac:dyDescent="0.2">
      <c r="B2" s="9" t="s">
        <v>18</v>
      </c>
    </row>
    <row r="3" spans="2:4" x14ac:dyDescent="0.2">
      <c r="B3" s="2" t="s">
        <v>8</v>
      </c>
      <c r="C3" s="16">
        <v>280000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7">
        <v>30525</v>
      </c>
      <c r="D6" s="17">
        <v>30525</v>
      </c>
    </row>
    <row r="7" spans="2:4" x14ac:dyDescent="0.2">
      <c r="B7" s="5" t="s">
        <v>10</v>
      </c>
      <c r="C7" s="10">
        <v>1488</v>
      </c>
      <c r="D7" s="4"/>
    </row>
    <row r="8" spans="2:4" x14ac:dyDescent="0.2">
      <c r="B8" s="5" t="s">
        <v>15</v>
      </c>
      <c r="C8" s="10">
        <v>2678</v>
      </c>
      <c r="D8" s="4"/>
    </row>
    <row r="9" spans="2:4" x14ac:dyDescent="0.2">
      <c r="B9" s="5" t="s">
        <v>0</v>
      </c>
      <c r="C9" s="18">
        <f>C6*15%</f>
        <v>4578.75</v>
      </c>
      <c r="D9" s="18">
        <f>D6*20%</f>
        <v>6105</v>
      </c>
    </row>
    <row r="10" spans="2:4" x14ac:dyDescent="0.2">
      <c r="B10" s="5" t="s">
        <v>1</v>
      </c>
      <c r="C10" s="11">
        <f>30%*C9</f>
        <v>1373.625</v>
      </c>
      <c r="D10" s="11">
        <f>30%*D9</f>
        <v>1831.5</v>
      </c>
    </row>
    <row r="11" spans="2:4" x14ac:dyDescent="0.2">
      <c r="B11" s="5" t="s">
        <v>17</v>
      </c>
      <c r="C11" s="11"/>
      <c r="D11" s="11">
        <f>D6*6%</f>
        <v>1831.5</v>
      </c>
    </row>
    <row r="12" spans="2:4" x14ac:dyDescent="0.2">
      <c r="B12" s="5" t="s">
        <v>16</v>
      </c>
      <c r="C12" s="11"/>
      <c r="D12" s="11"/>
    </row>
    <row r="13" spans="2:4" x14ac:dyDescent="0.2">
      <c r="B13" s="5" t="s">
        <v>11</v>
      </c>
      <c r="C13" s="11"/>
      <c r="D13" s="11"/>
    </row>
    <row r="14" spans="2:4" x14ac:dyDescent="0.2">
      <c r="B14" s="5" t="s">
        <v>12</v>
      </c>
      <c r="C14" s="11"/>
      <c r="D14" s="11"/>
    </row>
    <row r="15" spans="2:4" x14ac:dyDescent="0.2">
      <c r="B15" s="12" t="s">
        <v>2</v>
      </c>
      <c r="C15" s="13">
        <f>C6-SUM(C7:C14)</f>
        <v>20406.625</v>
      </c>
      <c r="D15" s="13">
        <f>D6-SUM(D7:D14)</f>
        <v>20757</v>
      </c>
    </row>
    <row r="17" spans="1:6" x14ac:dyDescent="0.2">
      <c r="D17" s="14" t="s">
        <v>7</v>
      </c>
    </row>
    <row r="18" spans="1:6" x14ac:dyDescent="0.2">
      <c r="D18" s="15">
        <f>(C3-B50)/B50/45</f>
        <v>2.4653524925393796E-2</v>
      </c>
    </row>
    <row r="19" spans="1:6" x14ac:dyDescent="0.2">
      <c r="A19" s="7" t="s">
        <v>6</v>
      </c>
      <c r="B19" s="8" t="s">
        <v>3</v>
      </c>
      <c r="C19" s="8" t="s">
        <v>13</v>
      </c>
      <c r="D19" s="8" t="s">
        <v>14</v>
      </c>
    </row>
    <row r="20" spans="1:6" x14ac:dyDescent="0.2">
      <c r="A20" s="4">
        <v>1</v>
      </c>
      <c r="B20" s="6">
        <f>C15</f>
        <v>20406.625</v>
      </c>
      <c r="C20" s="6"/>
      <c r="D20" s="6"/>
      <c r="E20" s="3"/>
      <c r="F20" s="19"/>
    </row>
    <row r="21" spans="1:6" x14ac:dyDescent="0.2">
      <c r="A21" s="4">
        <v>2</v>
      </c>
      <c r="B21" s="6">
        <f>D15</f>
        <v>20757</v>
      </c>
      <c r="C21" s="6"/>
      <c r="D21" s="6"/>
      <c r="E21" s="3"/>
      <c r="F21" s="19"/>
    </row>
    <row r="22" spans="1:6" x14ac:dyDescent="0.2">
      <c r="A22" s="4">
        <v>3</v>
      </c>
      <c r="B22" s="6">
        <f>C6</f>
        <v>30525</v>
      </c>
      <c r="C22" s="6"/>
      <c r="D22" s="6"/>
      <c r="E22" s="3"/>
      <c r="F22" s="19"/>
    </row>
    <row r="23" spans="1:6" x14ac:dyDescent="0.2">
      <c r="A23" s="4">
        <v>4</v>
      </c>
      <c r="B23" s="6">
        <f>B22</f>
        <v>30525</v>
      </c>
      <c r="C23" s="6"/>
      <c r="D23" s="6"/>
      <c r="E23" s="3"/>
      <c r="F23" s="19"/>
    </row>
    <row r="24" spans="1:6" x14ac:dyDescent="0.2">
      <c r="A24" s="4">
        <v>5</v>
      </c>
      <c r="B24" s="6">
        <f>B23</f>
        <v>30525</v>
      </c>
      <c r="C24" s="6"/>
      <c r="D24" s="6"/>
      <c r="E24" s="3"/>
      <c r="F24" s="19"/>
    </row>
    <row r="25" spans="1:6" x14ac:dyDescent="0.2">
      <c r="A25" s="4">
        <v>6</v>
      </c>
      <c r="B25" s="6"/>
      <c r="C25" s="6"/>
      <c r="D25" s="6"/>
      <c r="E25" s="3"/>
    </row>
    <row r="26" spans="1:6" x14ac:dyDescent="0.2">
      <c r="A26" s="4">
        <v>7</v>
      </c>
      <c r="B26" s="6"/>
      <c r="C26" s="6"/>
      <c r="D26" s="6"/>
      <c r="E26" s="3"/>
    </row>
    <row r="27" spans="1:6" x14ac:dyDescent="0.2">
      <c r="A27" s="4">
        <v>8</v>
      </c>
      <c r="B27" s="6"/>
      <c r="C27" s="6"/>
      <c r="D27" s="6"/>
      <c r="E27" s="3"/>
    </row>
    <row r="28" spans="1:6" x14ac:dyDescent="0.2">
      <c r="A28" s="4">
        <v>9</v>
      </c>
      <c r="B28" s="6"/>
      <c r="C28" s="6"/>
      <c r="D28" s="6"/>
      <c r="E28" s="3"/>
    </row>
    <row r="29" spans="1:6" x14ac:dyDescent="0.2">
      <c r="A29" s="4">
        <v>10</v>
      </c>
      <c r="B29" s="6"/>
      <c r="C29" s="6"/>
      <c r="D29" s="6"/>
      <c r="E29" s="3"/>
    </row>
    <row r="30" spans="1:6" x14ac:dyDescent="0.2">
      <c r="A30" s="4">
        <v>25</v>
      </c>
      <c r="B30" s="6"/>
      <c r="C30" s="6">
        <v>40000</v>
      </c>
      <c r="D30" s="6"/>
      <c r="E30" s="3"/>
    </row>
    <row r="31" spans="1:6" x14ac:dyDescent="0.2">
      <c r="A31" s="4">
        <v>26</v>
      </c>
      <c r="B31" s="6"/>
      <c r="C31" s="6">
        <v>8000</v>
      </c>
      <c r="D31" s="6"/>
      <c r="E31" s="3"/>
    </row>
    <row r="32" spans="1:6" x14ac:dyDescent="0.2">
      <c r="A32" s="4">
        <v>27</v>
      </c>
      <c r="B32" s="6"/>
      <c r="C32" s="6">
        <v>8000</v>
      </c>
      <c r="D32" s="6"/>
      <c r="E32" s="3"/>
    </row>
    <row r="33" spans="1:5" x14ac:dyDescent="0.2">
      <c r="A33" s="4">
        <v>28</v>
      </c>
      <c r="B33" s="6"/>
      <c r="C33" s="6">
        <v>8000</v>
      </c>
      <c r="D33" s="6"/>
      <c r="E33" s="3"/>
    </row>
    <row r="34" spans="1:5" x14ac:dyDescent="0.2">
      <c r="A34" s="4">
        <v>29</v>
      </c>
      <c r="B34" s="6"/>
      <c r="C34" s="6">
        <v>8000</v>
      </c>
      <c r="D34" s="6"/>
      <c r="E34" s="3"/>
    </row>
    <row r="35" spans="1:5" x14ac:dyDescent="0.2">
      <c r="A35" s="4">
        <v>30</v>
      </c>
      <c r="B35" s="6"/>
      <c r="C35" s="6">
        <v>8000</v>
      </c>
      <c r="D35" s="6"/>
      <c r="E35" s="3"/>
    </row>
    <row r="36" spans="1:5" x14ac:dyDescent="0.2">
      <c r="A36" s="4">
        <v>31</v>
      </c>
      <c r="B36" s="6"/>
      <c r="C36" s="6">
        <v>8000</v>
      </c>
      <c r="D36" s="6"/>
      <c r="E36" s="3"/>
    </row>
    <row r="37" spans="1:5" x14ac:dyDescent="0.2">
      <c r="A37" s="4">
        <v>32</v>
      </c>
      <c r="B37" s="6"/>
      <c r="C37" s="6">
        <v>8000</v>
      </c>
      <c r="D37" s="6"/>
      <c r="E37" s="3"/>
    </row>
    <row r="38" spans="1:5" x14ac:dyDescent="0.2">
      <c r="A38" s="4">
        <v>33</v>
      </c>
      <c r="B38" s="6"/>
      <c r="C38" s="6">
        <v>8000</v>
      </c>
      <c r="D38" s="6"/>
      <c r="E38" s="3"/>
    </row>
    <row r="39" spans="1:5" x14ac:dyDescent="0.2">
      <c r="A39" s="4">
        <v>34</v>
      </c>
      <c r="B39" s="6"/>
      <c r="C39" s="6">
        <v>8000</v>
      </c>
      <c r="D39" s="6"/>
      <c r="E39" s="3"/>
    </row>
    <row r="40" spans="1:5" x14ac:dyDescent="0.2">
      <c r="A40" s="4">
        <v>35</v>
      </c>
      <c r="B40" s="6"/>
      <c r="C40" s="6">
        <v>8000</v>
      </c>
      <c r="D40" s="6"/>
      <c r="E40" s="3"/>
    </row>
    <row r="41" spans="1:5" x14ac:dyDescent="0.2">
      <c r="A41" s="4">
        <v>36</v>
      </c>
      <c r="B41" s="6"/>
      <c r="C41" s="6">
        <v>8000</v>
      </c>
      <c r="D41" s="6"/>
      <c r="E41" s="3"/>
    </row>
    <row r="42" spans="1:5" x14ac:dyDescent="0.2">
      <c r="A42" s="4">
        <v>37</v>
      </c>
      <c r="B42" s="6"/>
      <c r="C42" s="6">
        <v>8000</v>
      </c>
      <c r="D42" s="6"/>
      <c r="E42" s="3"/>
    </row>
    <row r="43" spans="1:5" x14ac:dyDescent="0.2">
      <c r="A43" s="4">
        <v>38</v>
      </c>
      <c r="B43" s="6"/>
      <c r="C43" s="6">
        <v>8000</v>
      </c>
      <c r="D43" s="6"/>
      <c r="E43" s="3"/>
    </row>
    <row r="44" spans="1:5" x14ac:dyDescent="0.2">
      <c r="A44" s="4">
        <v>39</v>
      </c>
      <c r="B44" s="6"/>
      <c r="C44" s="6">
        <v>8000</v>
      </c>
      <c r="D44" s="6"/>
      <c r="E44" s="3"/>
    </row>
    <row r="45" spans="1:5" x14ac:dyDescent="0.2">
      <c r="A45" s="4">
        <v>40</v>
      </c>
      <c r="B45" s="6"/>
      <c r="C45" s="6">
        <v>8000</v>
      </c>
      <c r="D45" s="6"/>
      <c r="E45" s="3"/>
    </row>
    <row r="46" spans="1:5" x14ac:dyDescent="0.2">
      <c r="A46" s="4">
        <v>41</v>
      </c>
      <c r="B46" s="6"/>
      <c r="C46" s="6">
        <v>8000</v>
      </c>
      <c r="D46" s="6"/>
      <c r="E46" s="3"/>
    </row>
    <row r="47" spans="1:5" x14ac:dyDescent="0.2">
      <c r="A47" s="4">
        <v>42</v>
      </c>
      <c r="B47" s="6"/>
      <c r="C47" s="6">
        <v>8000</v>
      </c>
      <c r="D47" s="6"/>
      <c r="E47" s="3"/>
    </row>
    <row r="48" spans="1:5" x14ac:dyDescent="0.2">
      <c r="A48" s="4">
        <v>43</v>
      </c>
      <c r="B48" s="6"/>
      <c r="C48" s="6">
        <v>8000</v>
      </c>
      <c r="D48" s="6"/>
      <c r="E48" s="3"/>
    </row>
    <row r="49" spans="1:5" x14ac:dyDescent="0.2">
      <c r="A49" s="4">
        <v>44</v>
      </c>
      <c r="B49" s="6"/>
      <c r="C49" s="6">
        <v>8000</v>
      </c>
      <c r="D49" s="6"/>
      <c r="E49" s="3"/>
    </row>
    <row r="50" spans="1:5" x14ac:dyDescent="0.2">
      <c r="A50" s="4">
        <v>45</v>
      </c>
      <c r="B50" s="6">
        <f>B20+B21+B22+B23+B24</f>
        <v>132738.625</v>
      </c>
      <c r="C50" s="6">
        <v>88000</v>
      </c>
      <c r="D50" s="6"/>
      <c r="E50" s="3"/>
    </row>
    <row r="51" spans="1:5" x14ac:dyDescent="0.2">
      <c r="B51" s="3"/>
      <c r="C51" s="3"/>
      <c r="D51" s="3"/>
      <c r="E51" s="3"/>
    </row>
    <row r="52" spans="1:5" x14ac:dyDescent="0.2">
      <c r="B52" s="3"/>
      <c r="C52" s="3"/>
      <c r="D52" s="3"/>
      <c r="E52" s="3"/>
    </row>
    <row r="53" spans="1:5" x14ac:dyDescent="0.2">
      <c r="B53" s="3"/>
      <c r="C53" s="3"/>
      <c r="D53" s="3"/>
      <c r="E53" s="3"/>
    </row>
    <row r="54" spans="1:5" x14ac:dyDescent="0.2">
      <c r="B54" s="3"/>
      <c r="C54" s="3"/>
      <c r="D54" s="3"/>
      <c r="E54" s="3"/>
    </row>
    <row r="55" spans="1:5" x14ac:dyDescent="0.2">
      <c r="B55" s="3"/>
      <c r="C55" s="3"/>
      <c r="D55" s="3"/>
      <c r="E55" s="3"/>
    </row>
    <row r="56" spans="1:5" x14ac:dyDescent="0.2">
      <c r="B56" s="3"/>
      <c r="C56" s="3"/>
      <c r="D56" s="3"/>
      <c r="E56" s="3"/>
    </row>
    <row r="57" spans="1:5" x14ac:dyDescent="0.2">
      <c r="B57" s="3"/>
      <c r="C57" s="3"/>
      <c r="D57" s="3"/>
      <c r="E57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42965-0B77-A449-B7A5-3AF331FF44F8}">
  <sheetPr codeName="Sheet1"/>
  <dimension ref="A2:F57"/>
  <sheetViews>
    <sheetView topLeftCell="A7" workbookViewId="0">
      <selection activeCell="D13" sqref="D13"/>
    </sheetView>
  </sheetViews>
  <sheetFormatPr defaultColWidth="9.14453125" defaultRowHeight="15" x14ac:dyDescent="0.2"/>
  <cols>
    <col min="1" max="1" width="9.14453125" style="1"/>
    <col min="2" max="2" width="24.88671875" style="2" customWidth="1"/>
    <col min="3" max="3" width="16.54296875" style="2" customWidth="1"/>
    <col min="4" max="4" width="19.7734375" style="2" customWidth="1"/>
    <col min="5" max="5" width="9.14453125" style="2"/>
    <col min="6" max="6" width="13.44921875" style="2" bestFit="1" customWidth="1"/>
    <col min="7" max="7" width="11.97265625" style="2" bestFit="1" customWidth="1"/>
    <col min="8" max="16384" width="9.14453125" style="2"/>
  </cols>
  <sheetData>
    <row r="2" spans="2:4" x14ac:dyDescent="0.2">
      <c r="B2" s="9" t="s">
        <v>18</v>
      </c>
    </row>
    <row r="3" spans="2:4" x14ac:dyDescent="0.2">
      <c r="B3" s="2" t="s">
        <v>8</v>
      </c>
      <c r="C3" s="16">
        <v>280000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7">
        <v>30525</v>
      </c>
      <c r="D6" s="17">
        <v>30525</v>
      </c>
    </row>
    <row r="7" spans="2:4" x14ac:dyDescent="0.2">
      <c r="B7" s="5" t="s">
        <v>10</v>
      </c>
      <c r="C7" s="10">
        <v>1488</v>
      </c>
      <c r="D7" s="4"/>
    </row>
    <row r="8" spans="2:4" x14ac:dyDescent="0.2">
      <c r="B8" s="5" t="s">
        <v>15</v>
      </c>
      <c r="C8" s="10">
        <v>2678</v>
      </c>
      <c r="D8" s="4"/>
    </row>
    <row r="9" spans="2:4" x14ac:dyDescent="0.2">
      <c r="B9" s="5" t="s">
        <v>0</v>
      </c>
      <c r="C9" s="18">
        <f>C6*15%</f>
        <v>4578.75</v>
      </c>
      <c r="D9" s="18">
        <f>D6*20%</f>
        <v>6105</v>
      </c>
    </row>
    <row r="10" spans="2:4" x14ac:dyDescent="0.2">
      <c r="B10" s="5" t="s">
        <v>1</v>
      </c>
      <c r="C10" s="11">
        <f>30%*C9</f>
        <v>1373.625</v>
      </c>
      <c r="D10" s="11">
        <f>30%*D9</f>
        <v>1831.5</v>
      </c>
    </row>
    <row r="11" spans="2:4" x14ac:dyDescent="0.2">
      <c r="B11" s="5" t="s">
        <v>17</v>
      </c>
      <c r="C11" s="11"/>
      <c r="D11" s="11">
        <f>D6*6%</f>
        <v>1831.5</v>
      </c>
    </row>
    <row r="12" spans="2:4" x14ac:dyDescent="0.2">
      <c r="B12" s="5" t="s">
        <v>16</v>
      </c>
      <c r="C12" s="11"/>
      <c r="D12" s="11"/>
    </row>
    <row r="13" spans="2:4" x14ac:dyDescent="0.2">
      <c r="B13" s="5" t="s">
        <v>11</v>
      </c>
      <c r="C13" s="11">
        <f>50%*C9</f>
        <v>2289.375</v>
      </c>
      <c r="D13" s="11">
        <f>25%*D9</f>
        <v>1526.25</v>
      </c>
    </row>
    <row r="14" spans="2:4" x14ac:dyDescent="0.2">
      <c r="B14" s="5" t="s">
        <v>12</v>
      </c>
      <c r="C14" s="11"/>
      <c r="D14" s="11"/>
    </row>
    <row r="15" spans="2:4" x14ac:dyDescent="0.2">
      <c r="B15" s="12" t="s">
        <v>2</v>
      </c>
      <c r="C15" s="13">
        <f>C6-SUM(C7:C14)</f>
        <v>18117.25</v>
      </c>
      <c r="D15" s="13">
        <f>D6-SUM(D7:D14)</f>
        <v>19230.75</v>
      </c>
    </row>
    <row r="17" spans="1:6" x14ac:dyDescent="0.2">
      <c r="D17" s="14" t="s">
        <v>7</v>
      </c>
    </row>
    <row r="18" spans="1:6" x14ac:dyDescent="0.2">
      <c r="D18" s="15">
        <f>(C3-B50)/B50/45</f>
        <v>2.6040866770604677E-2</v>
      </c>
    </row>
    <row r="19" spans="1:6" x14ac:dyDescent="0.2">
      <c r="A19" s="7" t="s">
        <v>6</v>
      </c>
      <c r="B19" s="8" t="s">
        <v>3</v>
      </c>
      <c r="C19" s="8" t="s">
        <v>13</v>
      </c>
      <c r="D19" s="8" t="s">
        <v>14</v>
      </c>
    </row>
    <row r="20" spans="1:6" x14ac:dyDescent="0.2">
      <c r="A20" s="4">
        <v>1</v>
      </c>
      <c r="B20" s="6">
        <f>C15</f>
        <v>18117.25</v>
      </c>
      <c r="C20" s="6"/>
      <c r="D20" s="6"/>
      <c r="E20" s="3"/>
      <c r="F20" s="19"/>
    </row>
    <row r="21" spans="1:6" x14ac:dyDescent="0.2">
      <c r="A21" s="4">
        <v>2</v>
      </c>
      <c r="B21" s="6">
        <f>D15</f>
        <v>19230.75</v>
      </c>
      <c r="C21" s="6"/>
      <c r="D21" s="6"/>
      <c r="E21" s="3"/>
      <c r="F21" s="19"/>
    </row>
    <row r="22" spans="1:6" x14ac:dyDescent="0.2">
      <c r="A22" s="4">
        <v>3</v>
      </c>
      <c r="B22" s="6">
        <f>C6</f>
        <v>30525</v>
      </c>
      <c r="C22" s="6"/>
      <c r="D22" s="6"/>
      <c r="E22" s="3"/>
      <c r="F22" s="19"/>
    </row>
    <row r="23" spans="1:6" x14ac:dyDescent="0.2">
      <c r="A23" s="4">
        <v>4</v>
      </c>
      <c r="B23" s="6">
        <f>B22</f>
        <v>30525</v>
      </c>
      <c r="C23" s="6"/>
      <c r="D23" s="6"/>
      <c r="E23" s="3"/>
      <c r="F23" s="19"/>
    </row>
    <row r="24" spans="1:6" x14ac:dyDescent="0.2">
      <c r="A24" s="4">
        <v>5</v>
      </c>
      <c r="B24" s="6">
        <f>B23</f>
        <v>30525</v>
      </c>
      <c r="C24" s="6"/>
      <c r="D24" s="6"/>
      <c r="E24" s="3"/>
      <c r="F24" s="19"/>
    </row>
    <row r="25" spans="1:6" x14ac:dyDescent="0.2">
      <c r="A25" s="4">
        <v>6</v>
      </c>
      <c r="B25" s="6"/>
      <c r="C25" s="6"/>
      <c r="D25" s="6"/>
      <c r="E25" s="3"/>
    </row>
    <row r="26" spans="1:6" x14ac:dyDescent="0.2">
      <c r="A26" s="4">
        <v>7</v>
      </c>
      <c r="B26" s="6"/>
      <c r="C26" s="6"/>
      <c r="D26" s="6"/>
      <c r="E26" s="3"/>
    </row>
    <row r="27" spans="1:6" x14ac:dyDescent="0.2">
      <c r="A27" s="4">
        <v>8</v>
      </c>
      <c r="B27" s="6"/>
      <c r="C27" s="6"/>
      <c r="D27" s="6"/>
      <c r="E27" s="3"/>
    </row>
    <row r="28" spans="1:6" x14ac:dyDescent="0.2">
      <c r="A28" s="4">
        <v>9</v>
      </c>
      <c r="B28" s="6"/>
      <c r="C28" s="6"/>
      <c r="D28" s="6"/>
      <c r="E28" s="3"/>
    </row>
    <row r="29" spans="1:6" x14ac:dyDescent="0.2">
      <c r="A29" s="4">
        <v>10</v>
      </c>
      <c r="B29" s="6"/>
      <c r="C29" s="6"/>
      <c r="D29" s="6"/>
      <c r="E29" s="3"/>
    </row>
    <row r="30" spans="1:6" x14ac:dyDescent="0.2">
      <c r="A30" s="4">
        <v>25</v>
      </c>
      <c r="B30" s="6"/>
      <c r="C30" s="6">
        <v>40000</v>
      </c>
      <c r="D30" s="6"/>
      <c r="E30" s="3"/>
    </row>
    <row r="31" spans="1:6" x14ac:dyDescent="0.2">
      <c r="A31" s="4">
        <v>26</v>
      </c>
      <c r="B31" s="6"/>
      <c r="C31" s="6">
        <v>8000</v>
      </c>
      <c r="D31" s="6"/>
      <c r="E31" s="3"/>
    </row>
    <row r="32" spans="1:6" x14ac:dyDescent="0.2">
      <c r="A32" s="4">
        <v>27</v>
      </c>
      <c r="B32" s="6"/>
      <c r="C32" s="6">
        <v>8000</v>
      </c>
      <c r="D32" s="6"/>
      <c r="E32" s="3"/>
    </row>
    <row r="33" spans="1:5" x14ac:dyDescent="0.2">
      <c r="A33" s="4">
        <v>28</v>
      </c>
      <c r="B33" s="6"/>
      <c r="C33" s="6">
        <v>8000</v>
      </c>
      <c r="D33" s="6"/>
      <c r="E33" s="3"/>
    </row>
    <row r="34" spans="1:5" x14ac:dyDescent="0.2">
      <c r="A34" s="4">
        <v>29</v>
      </c>
      <c r="B34" s="6"/>
      <c r="C34" s="6">
        <v>8000</v>
      </c>
      <c r="D34" s="6"/>
      <c r="E34" s="3"/>
    </row>
    <row r="35" spans="1:5" x14ac:dyDescent="0.2">
      <c r="A35" s="4">
        <v>30</v>
      </c>
      <c r="B35" s="6"/>
      <c r="C35" s="6">
        <v>8000</v>
      </c>
      <c r="D35" s="6"/>
      <c r="E35" s="3"/>
    </row>
    <row r="36" spans="1:5" x14ac:dyDescent="0.2">
      <c r="A36" s="4">
        <v>31</v>
      </c>
      <c r="B36" s="6"/>
      <c r="C36" s="6">
        <v>8000</v>
      </c>
      <c r="D36" s="6"/>
      <c r="E36" s="3"/>
    </row>
    <row r="37" spans="1:5" x14ac:dyDescent="0.2">
      <c r="A37" s="4">
        <v>32</v>
      </c>
      <c r="B37" s="6"/>
      <c r="C37" s="6">
        <v>8000</v>
      </c>
      <c r="D37" s="6"/>
      <c r="E37" s="3"/>
    </row>
    <row r="38" spans="1:5" x14ac:dyDescent="0.2">
      <c r="A38" s="4">
        <v>33</v>
      </c>
      <c r="B38" s="6"/>
      <c r="C38" s="6">
        <v>8000</v>
      </c>
      <c r="D38" s="6"/>
      <c r="E38" s="3"/>
    </row>
    <row r="39" spans="1:5" x14ac:dyDescent="0.2">
      <c r="A39" s="4">
        <v>34</v>
      </c>
      <c r="B39" s="6"/>
      <c r="C39" s="6">
        <v>8000</v>
      </c>
      <c r="D39" s="6"/>
      <c r="E39" s="3"/>
    </row>
    <row r="40" spans="1:5" x14ac:dyDescent="0.2">
      <c r="A40" s="4">
        <v>35</v>
      </c>
      <c r="B40" s="6"/>
      <c r="C40" s="6">
        <v>8000</v>
      </c>
      <c r="D40" s="6"/>
      <c r="E40" s="3"/>
    </row>
    <row r="41" spans="1:5" x14ac:dyDescent="0.2">
      <c r="A41" s="4">
        <v>36</v>
      </c>
      <c r="B41" s="6"/>
      <c r="C41" s="6">
        <v>8000</v>
      </c>
      <c r="D41" s="6"/>
      <c r="E41" s="3"/>
    </row>
    <row r="42" spans="1:5" x14ac:dyDescent="0.2">
      <c r="A42" s="4">
        <v>37</v>
      </c>
      <c r="B42" s="6"/>
      <c r="C42" s="6">
        <v>8000</v>
      </c>
      <c r="D42" s="6"/>
      <c r="E42" s="3"/>
    </row>
    <row r="43" spans="1:5" x14ac:dyDescent="0.2">
      <c r="A43" s="4">
        <v>38</v>
      </c>
      <c r="B43" s="6"/>
      <c r="C43" s="6">
        <v>8000</v>
      </c>
      <c r="D43" s="6"/>
      <c r="E43" s="3"/>
    </row>
    <row r="44" spans="1:5" x14ac:dyDescent="0.2">
      <c r="A44" s="4">
        <v>39</v>
      </c>
      <c r="B44" s="6"/>
      <c r="C44" s="6">
        <v>8000</v>
      </c>
      <c r="D44" s="6"/>
      <c r="E44" s="3"/>
    </row>
    <row r="45" spans="1:5" x14ac:dyDescent="0.2">
      <c r="A45" s="4">
        <v>40</v>
      </c>
      <c r="B45" s="6"/>
      <c r="C45" s="6">
        <v>8000</v>
      </c>
      <c r="D45" s="6"/>
      <c r="E45" s="3"/>
    </row>
    <row r="46" spans="1:5" x14ac:dyDescent="0.2">
      <c r="A46" s="4">
        <v>41</v>
      </c>
      <c r="B46" s="6"/>
      <c r="C46" s="6">
        <v>8000</v>
      </c>
      <c r="D46" s="6"/>
      <c r="E46" s="3"/>
    </row>
    <row r="47" spans="1:5" x14ac:dyDescent="0.2">
      <c r="A47" s="4">
        <v>42</v>
      </c>
      <c r="B47" s="6"/>
      <c r="C47" s="6">
        <v>8000</v>
      </c>
      <c r="D47" s="6"/>
      <c r="E47" s="3"/>
    </row>
    <row r="48" spans="1:5" x14ac:dyDescent="0.2">
      <c r="A48" s="4">
        <v>43</v>
      </c>
      <c r="B48" s="6"/>
      <c r="C48" s="6">
        <v>8000</v>
      </c>
      <c r="D48" s="6"/>
      <c r="E48" s="3"/>
    </row>
    <row r="49" spans="1:5" x14ac:dyDescent="0.2">
      <c r="A49" s="4">
        <v>44</v>
      </c>
      <c r="B49" s="6"/>
      <c r="C49" s="6">
        <v>8000</v>
      </c>
      <c r="D49" s="6"/>
      <c r="E49" s="3"/>
    </row>
    <row r="50" spans="1:5" x14ac:dyDescent="0.2">
      <c r="A50" s="4">
        <v>45</v>
      </c>
      <c r="B50" s="6">
        <f>B20+B21+B22+B23+B24</f>
        <v>128923</v>
      </c>
      <c r="C50" s="6">
        <v>88000</v>
      </c>
      <c r="D50" s="6"/>
      <c r="E50" s="3"/>
    </row>
    <row r="51" spans="1:5" x14ac:dyDescent="0.2">
      <c r="B51" s="3"/>
      <c r="C51" s="3"/>
      <c r="D51" s="3"/>
      <c r="E51" s="3"/>
    </row>
    <row r="52" spans="1:5" x14ac:dyDescent="0.2">
      <c r="B52" s="3"/>
      <c r="C52" s="3"/>
      <c r="D52" s="3"/>
      <c r="E52" s="3"/>
    </row>
    <row r="53" spans="1:5" x14ac:dyDescent="0.2">
      <c r="B53" s="3"/>
      <c r="C53" s="3"/>
      <c r="D53" s="3"/>
      <c r="E53" s="3"/>
    </row>
    <row r="54" spans="1:5" x14ac:dyDescent="0.2">
      <c r="B54" s="3"/>
      <c r="C54" s="3"/>
      <c r="D54" s="3"/>
      <c r="E54" s="3"/>
    </row>
    <row r="55" spans="1:5" x14ac:dyDescent="0.2">
      <c r="B55" s="3"/>
      <c r="C55" s="3"/>
      <c r="D55" s="3"/>
      <c r="E55" s="3"/>
    </row>
    <row r="56" spans="1:5" x14ac:dyDescent="0.2">
      <c r="B56" s="3"/>
      <c r="C56" s="3"/>
      <c r="D56" s="3"/>
      <c r="E56" s="3"/>
    </row>
    <row r="57" spans="1:5" x14ac:dyDescent="0.2">
      <c r="B57" s="3"/>
      <c r="C57" s="3"/>
      <c r="D57" s="3"/>
      <c r="E57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4F430-F645-B145-85B9-318651EBB7A5}">
  <sheetPr codeName="Sheet1"/>
  <dimension ref="A2:F57"/>
  <sheetViews>
    <sheetView tabSelected="1" workbookViewId="0">
      <selection activeCell="D14" sqref="D14"/>
    </sheetView>
  </sheetViews>
  <sheetFormatPr defaultColWidth="9.14453125" defaultRowHeight="15" x14ac:dyDescent="0.2"/>
  <cols>
    <col min="1" max="1" width="9.14453125" style="1"/>
    <col min="2" max="2" width="24.88671875" style="2" customWidth="1"/>
    <col min="3" max="3" width="16.54296875" style="2" customWidth="1"/>
    <col min="4" max="4" width="19.7734375" style="2" customWidth="1"/>
    <col min="5" max="5" width="9.14453125" style="2"/>
    <col min="6" max="6" width="13.44921875" style="2" bestFit="1" customWidth="1"/>
    <col min="7" max="7" width="11.97265625" style="2" bestFit="1" customWidth="1"/>
    <col min="8" max="16384" width="9.14453125" style="2"/>
  </cols>
  <sheetData>
    <row r="2" spans="2:4" x14ac:dyDescent="0.2">
      <c r="B2" s="9" t="s">
        <v>18</v>
      </c>
    </row>
    <row r="3" spans="2:4" x14ac:dyDescent="0.2">
      <c r="B3" s="2" t="s">
        <v>8</v>
      </c>
      <c r="C3" s="16">
        <v>280000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7">
        <v>30525</v>
      </c>
      <c r="D6" s="17">
        <v>30525</v>
      </c>
    </row>
    <row r="7" spans="2:4" x14ac:dyDescent="0.2">
      <c r="B7" s="5" t="s">
        <v>10</v>
      </c>
      <c r="C7" s="10">
        <v>1488</v>
      </c>
      <c r="D7" s="4"/>
    </row>
    <row r="8" spans="2:4" x14ac:dyDescent="0.2">
      <c r="B8" s="5" t="s">
        <v>15</v>
      </c>
      <c r="C8" s="10">
        <v>2678</v>
      </c>
      <c r="D8" s="4"/>
    </row>
    <row r="9" spans="2:4" x14ac:dyDescent="0.2">
      <c r="B9" s="5" t="s">
        <v>0</v>
      </c>
      <c r="C9" s="18">
        <f>C6*15%</f>
        <v>4578.75</v>
      </c>
      <c r="D9" s="18">
        <f>D6*20%</f>
        <v>6105</v>
      </c>
    </row>
    <row r="10" spans="2:4" x14ac:dyDescent="0.2">
      <c r="B10" s="5" t="s">
        <v>1</v>
      </c>
      <c r="C10" s="11">
        <f>30%*C9</f>
        <v>1373.625</v>
      </c>
      <c r="D10" s="11">
        <f>30%*D9</f>
        <v>1831.5</v>
      </c>
    </row>
    <row r="11" spans="2:4" x14ac:dyDescent="0.2">
      <c r="B11" s="5" t="s">
        <v>17</v>
      </c>
      <c r="C11" s="11"/>
      <c r="D11" s="11">
        <f>D6*6%</f>
        <v>1831.5</v>
      </c>
    </row>
    <row r="12" spans="2:4" x14ac:dyDescent="0.2">
      <c r="B12" s="5" t="s">
        <v>16</v>
      </c>
      <c r="C12" s="11"/>
      <c r="D12" s="11"/>
    </row>
    <row r="13" spans="2:4" x14ac:dyDescent="0.2">
      <c r="B13" s="5" t="s">
        <v>11</v>
      </c>
      <c r="C13" s="11"/>
      <c r="D13" s="11"/>
    </row>
    <row r="14" spans="2:4" x14ac:dyDescent="0.2">
      <c r="B14" s="5" t="s">
        <v>12</v>
      </c>
      <c r="C14" s="11">
        <f>100%*C9</f>
        <v>4578.75</v>
      </c>
      <c r="D14" s="11">
        <f>50%*D9</f>
        <v>3052.5</v>
      </c>
    </row>
    <row r="15" spans="2:4" x14ac:dyDescent="0.2">
      <c r="B15" s="12" t="s">
        <v>2</v>
      </c>
      <c r="C15" s="13">
        <f>C6-SUM(C7:C14)</f>
        <v>15827.875</v>
      </c>
      <c r="D15" s="13">
        <f>D6-SUM(D7:D14)</f>
        <v>17704.5</v>
      </c>
    </row>
    <row r="17" spans="1:6" x14ac:dyDescent="0.2">
      <c r="D17" s="14" t="s">
        <v>7</v>
      </c>
    </row>
    <row r="18" spans="1:6" x14ac:dyDescent="0.2">
      <c r="D18" s="15">
        <f>(C3-B50)/B50/45</f>
        <v>2.751283314299683E-2</v>
      </c>
    </row>
    <row r="19" spans="1:6" x14ac:dyDescent="0.2">
      <c r="A19" s="7" t="s">
        <v>6</v>
      </c>
      <c r="B19" s="8" t="s">
        <v>3</v>
      </c>
      <c r="C19" s="8" t="s">
        <v>13</v>
      </c>
      <c r="D19" s="8" t="s">
        <v>14</v>
      </c>
    </row>
    <row r="20" spans="1:6" x14ac:dyDescent="0.2">
      <c r="A20" s="4">
        <v>1</v>
      </c>
      <c r="B20" s="6">
        <f>C15</f>
        <v>15827.875</v>
      </c>
      <c r="C20" s="6"/>
      <c r="D20" s="6"/>
      <c r="E20" s="3"/>
      <c r="F20" s="19"/>
    </row>
    <row r="21" spans="1:6" x14ac:dyDescent="0.2">
      <c r="A21" s="4">
        <v>2</v>
      </c>
      <c r="B21" s="6">
        <f>D15</f>
        <v>17704.5</v>
      </c>
      <c r="C21" s="6"/>
      <c r="D21" s="6"/>
      <c r="E21" s="3"/>
      <c r="F21" s="19"/>
    </row>
    <row r="22" spans="1:6" x14ac:dyDescent="0.2">
      <c r="A22" s="4">
        <v>3</v>
      </c>
      <c r="B22" s="6">
        <f>C6</f>
        <v>30525</v>
      </c>
      <c r="C22" s="6"/>
      <c r="D22" s="6"/>
      <c r="E22" s="3"/>
      <c r="F22" s="19"/>
    </row>
    <row r="23" spans="1:6" x14ac:dyDescent="0.2">
      <c r="A23" s="4">
        <v>4</v>
      </c>
      <c r="B23" s="6">
        <f>B22</f>
        <v>30525</v>
      </c>
      <c r="C23" s="6"/>
      <c r="D23" s="6"/>
      <c r="E23" s="3"/>
      <c r="F23" s="19"/>
    </row>
    <row r="24" spans="1:6" x14ac:dyDescent="0.2">
      <c r="A24" s="4">
        <v>5</v>
      </c>
      <c r="B24" s="6">
        <f>B23</f>
        <v>30525</v>
      </c>
      <c r="C24" s="6"/>
      <c r="D24" s="6"/>
      <c r="E24" s="3"/>
      <c r="F24" s="19"/>
    </row>
    <row r="25" spans="1:6" x14ac:dyDescent="0.2">
      <c r="A25" s="4">
        <v>6</v>
      </c>
      <c r="B25" s="6"/>
      <c r="C25" s="6"/>
      <c r="D25" s="6"/>
      <c r="E25" s="3"/>
    </row>
    <row r="26" spans="1:6" x14ac:dyDescent="0.2">
      <c r="A26" s="4">
        <v>7</v>
      </c>
      <c r="B26" s="6"/>
      <c r="C26" s="6"/>
      <c r="D26" s="6"/>
      <c r="E26" s="3"/>
    </row>
    <row r="27" spans="1:6" x14ac:dyDescent="0.2">
      <c r="A27" s="4">
        <v>8</v>
      </c>
      <c r="B27" s="6"/>
      <c r="C27" s="6"/>
      <c r="D27" s="6"/>
      <c r="E27" s="3"/>
    </row>
    <row r="28" spans="1:6" x14ac:dyDescent="0.2">
      <c r="A28" s="4">
        <v>9</v>
      </c>
      <c r="B28" s="6"/>
      <c r="C28" s="6"/>
      <c r="D28" s="6"/>
      <c r="E28" s="3"/>
    </row>
    <row r="29" spans="1:6" x14ac:dyDescent="0.2">
      <c r="A29" s="4">
        <v>10</v>
      </c>
      <c r="B29" s="6"/>
      <c r="C29" s="6"/>
      <c r="D29" s="6"/>
      <c r="E29" s="3"/>
    </row>
    <row r="30" spans="1:6" x14ac:dyDescent="0.2">
      <c r="A30" s="4">
        <v>25</v>
      </c>
      <c r="B30" s="6"/>
      <c r="C30" s="6">
        <v>40000</v>
      </c>
      <c r="D30" s="6"/>
      <c r="E30" s="3"/>
    </row>
    <row r="31" spans="1:6" x14ac:dyDescent="0.2">
      <c r="A31" s="4">
        <v>26</v>
      </c>
      <c r="B31" s="6"/>
      <c r="C31" s="6">
        <v>8000</v>
      </c>
      <c r="D31" s="6"/>
      <c r="E31" s="3"/>
    </row>
    <row r="32" spans="1:6" x14ac:dyDescent="0.2">
      <c r="A32" s="4">
        <v>27</v>
      </c>
      <c r="B32" s="6"/>
      <c r="C32" s="6">
        <v>8000</v>
      </c>
      <c r="D32" s="6"/>
      <c r="E32" s="3"/>
    </row>
    <row r="33" spans="1:5" x14ac:dyDescent="0.2">
      <c r="A33" s="4">
        <v>28</v>
      </c>
      <c r="B33" s="6"/>
      <c r="C33" s="6">
        <v>8000</v>
      </c>
      <c r="D33" s="6"/>
      <c r="E33" s="3"/>
    </row>
    <row r="34" spans="1:5" x14ac:dyDescent="0.2">
      <c r="A34" s="4">
        <v>29</v>
      </c>
      <c r="B34" s="6"/>
      <c r="C34" s="6">
        <v>8000</v>
      </c>
      <c r="D34" s="6"/>
      <c r="E34" s="3"/>
    </row>
    <row r="35" spans="1:5" x14ac:dyDescent="0.2">
      <c r="A35" s="4">
        <v>30</v>
      </c>
      <c r="B35" s="6"/>
      <c r="C35" s="6">
        <v>8000</v>
      </c>
      <c r="D35" s="6"/>
      <c r="E35" s="3"/>
    </row>
    <row r="36" spans="1:5" x14ac:dyDescent="0.2">
      <c r="A36" s="4">
        <v>31</v>
      </c>
      <c r="B36" s="6"/>
      <c r="C36" s="6">
        <v>8000</v>
      </c>
      <c r="D36" s="6"/>
      <c r="E36" s="3"/>
    </row>
    <row r="37" spans="1:5" x14ac:dyDescent="0.2">
      <c r="A37" s="4">
        <v>32</v>
      </c>
      <c r="B37" s="6"/>
      <c r="C37" s="6">
        <v>8000</v>
      </c>
      <c r="D37" s="6"/>
      <c r="E37" s="3"/>
    </row>
    <row r="38" spans="1:5" x14ac:dyDescent="0.2">
      <c r="A38" s="4">
        <v>33</v>
      </c>
      <c r="B38" s="6"/>
      <c r="C38" s="6">
        <v>8000</v>
      </c>
      <c r="D38" s="6"/>
      <c r="E38" s="3"/>
    </row>
    <row r="39" spans="1:5" x14ac:dyDescent="0.2">
      <c r="A39" s="4">
        <v>34</v>
      </c>
      <c r="B39" s="6"/>
      <c r="C39" s="6">
        <v>8000</v>
      </c>
      <c r="D39" s="6"/>
      <c r="E39" s="3"/>
    </row>
    <row r="40" spans="1:5" x14ac:dyDescent="0.2">
      <c r="A40" s="4">
        <v>35</v>
      </c>
      <c r="B40" s="6"/>
      <c r="C40" s="6">
        <v>8000</v>
      </c>
      <c r="D40" s="6"/>
      <c r="E40" s="3"/>
    </row>
    <row r="41" spans="1:5" x14ac:dyDescent="0.2">
      <c r="A41" s="4">
        <v>36</v>
      </c>
      <c r="B41" s="6"/>
      <c r="C41" s="6">
        <v>8000</v>
      </c>
      <c r="D41" s="6"/>
      <c r="E41" s="3"/>
    </row>
    <row r="42" spans="1:5" x14ac:dyDescent="0.2">
      <c r="A42" s="4">
        <v>37</v>
      </c>
      <c r="B42" s="6"/>
      <c r="C42" s="6">
        <v>8000</v>
      </c>
      <c r="D42" s="6"/>
      <c r="E42" s="3"/>
    </row>
    <row r="43" spans="1:5" x14ac:dyDescent="0.2">
      <c r="A43" s="4">
        <v>38</v>
      </c>
      <c r="B43" s="6"/>
      <c r="C43" s="6">
        <v>8000</v>
      </c>
      <c r="D43" s="6"/>
      <c r="E43" s="3"/>
    </row>
    <row r="44" spans="1:5" x14ac:dyDescent="0.2">
      <c r="A44" s="4">
        <v>39</v>
      </c>
      <c r="B44" s="6"/>
      <c r="C44" s="6">
        <v>8000</v>
      </c>
      <c r="D44" s="6"/>
      <c r="E44" s="3"/>
    </row>
    <row r="45" spans="1:5" x14ac:dyDescent="0.2">
      <c r="A45" s="4">
        <v>40</v>
      </c>
      <c r="B45" s="6"/>
      <c r="C45" s="6">
        <v>8000</v>
      </c>
      <c r="D45" s="6"/>
      <c r="E45" s="3"/>
    </row>
    <row r="46" spans="1:5" x14ac:dyDescent="0.2">
      <c r="A46" s="4">
        <v>41</v>
      </c>
      <c r="B46" s="6"/>
      <c r="C46" s="6">
        <v>8000</v>
      </c>
      <c r="D46" s="6"/>
      <c r="E46" s="3"/>
    </row>
    <row r="47" spans="1:5" x14ac:dyDescent="0.2">
      <c r="A47" s="4">
        <v>42</v>
      </c>
      <c r="B47" s="6"/>
      <c r="C47" s="6">
        <v>8000</v>
      </c>
      <c r="D47" s="6"/>
      <c r="E47" s="3"/>
    </row>
    <row r="48" spans="1:5" x14ac:dyDescent="0.2">
      <c r="A48" s="4">
        <v>43</v>
      </c>
      <c r="B48" s="6"/>
      <c r="C48" s="6">
        <v>8000</v>
      </c>
      <c r="D48" s="6"/>
      <c r="E48" s="3"/>
    </row>
    <row r="49" spans="1:5" x14ac:dyDescent="0.2">
      <c r="A49" s="4">
        <v>44</v>
      </c>
      <c r="B49" s="6"/>
      <c r="C49" s="6">
        <v>8000</v>
      </c>
      <c r="D49" s="6"/>
      <c r="E49" s="3"/>
    </row>
    <row r="50" spans="1:5" x14ac:dyDescent="0.2">
      <c r="A50" s="4">
        <v>45</v>
      </c>
      <c r="B50" s="6">
        <f>B20+B21+B22+B23+B24</f>
        <v>125107.375</v>
      </c>
      <c r="C50" s="6">
        <v>88000</v>
      </c>
      <c r="D50" s="6"/>
      <c r="E50" s="3"/>
    </row>
    <row r="51" spans="1:5" x14ac:dyDescent="0.2">
      <c r="B51" s="3"/>
      <c r="C51" s="3"/>
      <c r="D51" s="3"/>
      <c r="E51" s="3"/>
    </row>
    <row r="52" spans="1:5" x14ac:dyDescent="0.2">
      <c r="B52" s="3"/>
      <c r="C52" s="3"/>
      <c r="D52" s="3"/>
      <c r="E52" s="3"/>
    </row>
    <row r="53" spans="1:5" x14ac:dyDescent="0.2">
      <c r="B53" s="3"/>
      <c r="C53" s="3"/>
      <c r="D53" s="3"/>
      <c r="E53" s="3"/>
    </row>
    <row r="54" spans="1:5" x14ac:dyDescent="0.2">
      <c r="B54" s="3"/>
      <c r="C54" s="3"/>
      <c r="D54" s="3"/>
      <c r="E54" s="3"/>
    </row>
    <row r="55" spans="1:5" x14ac:dyDescent="0.2">
      <c r="B55" s="3"/>
      <c r="C55" s="3"/>
      <c r="D55" s="3"/>
      <c r="E55" s="3"/>
    </row>
    <row r="56" spans="1:5" x14ac:dyDescent="0.2">
      <c r="B56" s="3"/>
      <c r="C56" s="3"/>
      <c r="D56" s="3"/>
      <c r="E56" s="3"/>
    </row>
    <row r="57" spans="1:5" x14ac:dyDescent="0.2">
      <c r="B57" s="3"/>
      <c r="C57" s="3"/>
      <c r="D57" s="3"/>
      <c r="E57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46EE88EF4AE489A6BC5082514BC71" ma:contentTypeVersion="15" ma:contentTypeDescription="Create a new document." ma:contentTypeScope="" ma:versionID="30f8496e24aca21e85924253c746bdf3">
  <xsd:schema xmlns:xsd="http://www.w3.org/2001/XMLSchema" xmlns:xs="http://www.w3.org/2001/XMLSchema" xmlns:p="http://schemas.microsoft.com/office/2006/metadata/properties" xmlns:ns2="c4b513a5-65ca-4dbc-9f3d-88c3db0a4c58" xmlns:ns3="eea2a37d-5467-4c04-ace7-c677644bbece" targetNamespace="http://schemas.microsoft.com/office/2006/metadata/properties" ma:root="true" ma:fieldsID="9de86a5d295227000d52d8cf4191b4bb" ns2:_="" ns3:_="">
    <xsd:import namespace="c4b513a5-65ca-4dbc-9f3d-88c3db0a4c58"/>
    <xsd:import namespace="eea2a37d-5467-4c04-ace7-c677644bbec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513a5-65ca-4dbc-9f3d-88c3db0a4c5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7c746ca-7c32-42b4-841c-b574ac2791bd}" ma:internalName="TaxCatchAll" ma:showField="CatchAllData" ma:web="c4b513a5-65ca-4dbc-9f3d-88c3db0a4c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a2a37d-5467-4c04-ace7-c677644bbe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c039845-d277-466e-a9af-ee1ca770c9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5D7E8A-0F41-40FE-A041-0A5AF0EDD7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287725-5B3D-4108-9ED7-3225B19A3F3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c4b513a5-65ca-4dbc-9f3d-88c3db0a4c58"/>
    <ds:schemaRef ds:uri="eea2a37d-5467-4c04-ace7-c677644bbe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MIFIP UM 55 - 5 pay (LP)</vt:lpstr>
      <vt:lpstr>MIFIP UM 55 - 5 pay (BP)</vt:lpstr>
      <vt:lpstr>MIFIP UM 55 - 5 pay (SBP)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Mandolang</dc:creator>
  <cp:lastModifiedBy>Kenny Mandolang</cp:lastModifiedBy>
  <dcterms:created xsi:type="dcterms:W3CDTF">2015-06-05T18:17:20Z</dcterms:created>
  <dcterms:modified xsi:type="dcterms:W3CDTF">2024-09-04T05:40:55Z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aa860-6a65-4942-a19a-0478291725e1_Enabled">
    <vt:lpwstr>true</vt:lpwstr>
  </property>
  <property fmtid="{D5CDD505-2E9C-101B-9397-08002B2CF9AE}" pid="3" name="MSIP_Label_3c9aa860-6a65-4942-a19a-0478291725e1_SetDate">
    <vt:lpwstr>2024-08-09T03:02:03Z</vt:lpwstr>
  </property>
  <property fmtid="{D5CDD505-2E9C-101B-9397-08002B2CF9AE}" pid="4" name="MSIP_Label_3c9aa860-6a65-4942-a19a-0478291725e1_Method">
    <vt:lpwstr>Privileged</vt:lpwstr>
  </property>
  <property fmtid="{D5CDD505-2E9C-101B-9397-08002B2CF9AE}" pid="5" name="MSIP_Label_3c9aa860-6a65-4942-a19a-0478291725e1_Name">
    <vt:lpwstr>CONFIDENTIAL</vt:lpwstr>
  </property>
  <property fmtid="{D5CDD505-2E9C-101B-9397-08002B2CF9AE}" pid="6" name="MSIP_Label_3c9aa860-6a65-4942-a19a-0478291725e1_SiteId">
    <vt:lpwstr>5d3e2773-e07f-4432-a630-1a0f68a28a05</vt:lpwstr>
  </property>
  <property fmtid="{D5CDD505-2E9C-101B-9397-08002B2CF9AE}" pid="7" name="MSIP_Label_3c9aa860-6a65-4942-a19a-0478291725e1_ActionId">
    <vt:lpwstr>6a666888-b417-4a42-a573-5008860e2375</vt:lpwstr>
  </property>
  <property fmtid="{D5CDD505-2E9C-101B-9397-08002B2CF9AE}" pid="8" name="MSIP_Label_3c9aa860-6a65-4942-a19a-0478291725e1_ContentBits">
    <vt:lpwstr>2</vt:lpwstr>
  </property>
</Properties>
</file>