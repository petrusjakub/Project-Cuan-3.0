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fc.sharepoint.com/sites/Agency/AGENCY Strategy Team1/Adhoc Project/202308 Kalkulator MDLA MiAction/"/>
    </mc:Choice>
  </mc:AlternateContent>
  <xr:revisionPtr revIDLastSave="0" documentId="13_ncr:41000001_{9AF475DB-B24F-FC43-8806-5FE062D37D0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MDWA C 20 - 5 pay (LP)" sheetId="15" r:id="rId1"/>
    <sheet name="MDWA C 20 - 5 pay (BP)" sheetId="14" r:id="rId2"/>
    <sheet name="MDWA C 20 - 5 pay (SBP)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5" l="1"/>
  <c r="C38" i="15"/>
  <c r="C9" i="15"/>
  <c r="C10" i="15"/>
  <c r="C14" i="15"/>
  <c r="B19" i="15"/>
  <c r="D9" i="15"/>
  <c r="D10" i="15"/>
  <c r="D14" i="15"/>
  <c r="B20" i="15"/>
  <c r="B21" i="15"/>
  <c r="B22" i="15"/>
  <c r="B23" i="15"/>
  <c r="B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3" i="15"/>
  <c r="D17" i="15"/>
  <c r="D12" i="14"/>
  <c r="C12" i="14"/>
  <c r="D38" i="14"/>
  <c r="C38" i="14"/>
  <c r="C9" i="14"/>
  <c r="C10" i="14"/>
  <c r="C14" i="14"/>
  <c r="B19" i="14"/>
  <c r="D9" i="14"/>
  <c r="D10" i="14"/>
  <c r="D14" i="14"/>
  <c r="B20" i="14"/>
  <c r="B21" i="14"/>
  <c r="B22" i="14"/>
  <c r="B23" i="14"/>
  <c r="B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3" i="14"/>
  <c r="D17" i="14"/>
  <c r="D13" i="13"/>
  <c r="C13" i="13"/>
  <c r="D38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9" i="13"/>
  <c r="C10" i="13"/>
  <c r="C14" i="13"/>
  <c r="B19" i="13"/>
  <c r="D9" i="13"/>
  <c r="D10" i="13"/>
  <c r="D14" i="13"/>
  <c r="B20" i="13"/>
  <c r="B21" i="13"/>
  <c r="B22" i="13"/>
  <c r="B23" i="13"/>
  <c r="B38" i="13"/>
  <c r="C3" i="13"/>
  <c r="D17" i="13"/>
</calcChain>
</file>

<file path=xl/sharedStrings.xml><?xml version="1.0" encoding="utf-8"?>
<sst xmlns="http://schemas.openxmlformats.org/spreadsheetml/2006/main" count="57" uniqueCount="18">
  <si>
    <t>Komisi</t>
  </si>
  <si>
    <t>Quarterly Bonus</t>
  </si>
  <si>
    <t>Net Premi Tahun 1</t>
  </si>
  <si>
    <t>Premi</t>
  </si>
  <si>
    <t>Tahun 1</t>
  </si>
  <si>
    <t>Tahun 2</t>
  </si>
  <si>
    <t>Tahun</t>
  </si>
  <si>
    <t>% Bunga</t>
  </si>
  <si>
    <t>Manfaat Akhir</t>
  </si>
  <si>
    <t>Perhitungan</t>
  </si>
  <si>
    <t>Trip China (Signature Star)</t>
  </si>
  <si>
    <t>Trip Austria (BPC)</t>
  </si>
  <si>
    <t>OR BP</t>
  </si>
  <si>
    <t>OR SBP</t>
  </si>
  <si>
    <t>Tahapan Tahunan</t>
  </si>
  <si>
    <t>Manfaat Akhir Kontrak</t>
  </si>
  <si>
    <t>Reguler Financing</t>
  </si>
  <si>
    <t>MDWA C, USD, Term 20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</si>
</sst>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1" applyNumberFormat="1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2" borderId="0" xfId="0" applyFont="1" applyFill="1"/>
    <xf numFmtId="164" fontId="0" fillId="2" borderId="1" xfId="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4" borderId="1" xfId="2" applyNumberFormat="1" applyFont="1" applyFill="1" applyBorder="1" applyAlignment="1">
      <alignment horizontal="center"/>
    </xf>
    <xf numFmtId="164" fontId="0" fillId="5" borderId="0" xfId="1" applyNumberFormat="1" applyFont="1" applyFill="1"/>
    <xf numFmtId="164" fontId="0" fillId="5" borderId="1" xfId="1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2" borderId="0" xfId="0" applyNumberFormat="1" applyFill="1"/>
    <xf numFmtId="10" fontId="0" fillId="2" borderId="0" xfId="0" applyNumberFormat="1" applyFill="1"/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A1BD-36E8-2E4D-8A88-68E76AE4A5B8}">
  <dimension ref="A2:G45"/>
  <sheetViews>
    <sheetView tabSelected="1" workbookViewId="0">
      <selection activeCell="D12" sqref="D12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5.73828125" style="2" customWidth="1"/>
    <col min="4" max="4" width="20.04296875" style="2" customWidth="1"/>
    <col min="5" max="5" width="17.890625" style="2" customWidth="1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9" t="s">
        <v>17</v>
      </c>
    </row>
    <row r="3" spans="2:4" x14ac:dyDescent="0.2">
      <c r="B3" s="2" t="s">
        <v>8</v>
      </c>
      <c r="C3" s="16">
        <f>SUM(C23:C38)+D38</f>
        <v>207300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30000</v>
      </c>
      <c r="D6" s="17">
        <v>30000</v>
      </c>
    </row>
    <row r="7" spans="2:4" x14ac:dyDescent="0.2">
      <c r="B7" s="5" t="s">
        <v>10</v>
      </c>
      <c r="C7" s="10">
        <v>1488</v>
      </c>
      <c r="D7" s="4"/>
    </row>
    <row r="8" spans="2:4" x14ac:dyDescent="0.2">
      <c r="B8" s="5" t="s">
        <v>11</v>
      </c>
      <c r="C8" s="10">
        <v>2678</v>
      </c>
      <c r="D8" s="4"/>
    </row>
    <row r="9" spans="2:4" x14ac:dyDescent="0.2">
      <c r="B9" s="5" t="s">
        <v>0</v>
      </c>
      <c r="C9" s="18">
        <f>C6*10%</f>
        <v>3000</v>
      </c>
      <c r="D9" s="18">
        <f>D6*5%</f>
        <v>1500</v>
      </c>
    </row>
    <row r="10" spans="2:4" x14ac:dyDescent="0.2">
      <c r="B10" s="5" t="s">
        <v>1</v>
      </c>
      <c r="C10" s="11">
        <f>30%*C9</f>
        <v>900</v>
      </c>
      <c r="D10" s="11">
        <f>30%*D9</f>
        <v>450</v>
      </c>
    </row>
    <row r="11" spans="2:4" x14ac:dyDescent="0.2">
      <c r="B11" s="5" t="s">
        <v>16</v>
      </c>
      <c r="C11" s="11"/>
      <c r="D11" s="11"/>
    </row>
    <row r="12" spans="2:4" x14ac:dyDescent="0.2">
      <c r="B12" s="5" t="s">
        <v>12</v>
      </c>
      <c r="C12" s="11"/>
      <c r="D12" s="11"/>
    </row>
    <row r="13" spans="2:4" x14ac:dyDescent="0.2">
      <c r="B13" s="5" t="s">
        <v>13</v>
      </c>
      <c r="C13" s="11"/>
      <c r="D13" s="11"/>
    </row>
    <row r="14" spans="2:4" x14ac:dyDescent="0.2">
      <c r="B14" s="12" t="s">
        <v>2</v>
      </c>
      <c r="C14" s="13">
        <f>C6-SUM(C7:C13)</f>
        <v>21934</v>
      </c>
      <c r="D14" s="13">
        <f>D6-SUM(D7:D13)</f>
        <v>28050</v>
      </c>
    </row>
    <row r="16" spans="2:4" x14ac:dyDescent="0.2">
      <c r="D16" s="14" t="s">
        <v>7</v>
      </c>
    </row>
    <row r="17" spans="1:7" x14ac:dyDescent="0.2">
      <c r="D17" s="15">
        <f>(C3-B38)/B38/20</f>
        <v>2.4044176477311694E-2</v>
      </c>
      <c r="F17" s="20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1"/>
    </row>
    <row r="19" spans="1:7" x14ac:dyDescent="0.2">
      <c r="A19" s="4">
        <v>1</v>
      </c>
      <c r="B19" s="6">
        <f>C14</f>
        <v>21934</v>
      </c>
      <c r="C19" s="6"/>
      <c r="D19" s="6"/>
      <c r="E19" s="3"/>
      <c r="F19" s="22"/>
      <c r="G19" s="19"/>
    </row>
    <row r="20" spans="1:7" x14ac:dyDescent="0.2">
      <c r="A20" s="4">
        <v>2</v>
      </c>
      <c r="B20" s="6">
        <f>D14</f>
        <v>28050</v>
      </c>
      <c r="C20" s="6"/>
      <c r="D20" s="6"/>
      <c r="E20" s="3"/>
      <c r="F20" s="22"/>
      <c r="G20" s="19"/>
    </row>
    <row r="21" spans="1:7" x14ac:dyDescent="0.2">
      <c r="A21" s="4">
        <v>3</v>
      </c>
      <c r="B21" s="6">
        <f>C6</f>
        <v>30000</v>
      </c>
      <c r="C21" s="6"/>
      <c r="D21" s="6"/>
      <c r="E21" s="3"/>
      <c r="G21" s="19"/>
    </row>
    <row r="22" spans="1:7" x14ac:dyDescent="0.2">
      <c r="A22" s="4">
        <v>4</v>
      </c>
      <c r="B22" s="6">
        <f>B21</f>
        <v>30000</v>
      </c>
      <c r="C22" s="6"/>
      <c r="D22" s="6"/>
      <c r="E22" s="3"/>
      <c r="G22" s="19"/>
    </row>
    <row r="23" spans="1:7" x14ac:dyDescent="0.2">
      <c r="A23" s="4">
        <v>5</v>
      </c>
      <c r="B23" s="6">
        <f>B22</f>
        <v>30000</v>
      </c>
      <c r="C23" s="6">
        <f>C$6*11%</f>
        <v>3300</v>
      </c>
      <c r="D23" s="6"/>
      <c r="E23" s="3"/>
      <c r="G23" s="19"/>
    </row>
    <row r="24" spans="1:7" x14ac:dyDescent="0.2">
      <c r="A24" s="4">
        <v>6</v>
      </c>
      <c r="C24" s="6">
        <f t="shared" ref="C24:C38" si="0">C$6*11%</f>
        <v>3300</v>
      </c>
      <c r="D24" s="6"/>
      <c r="E24" s="3"/>
    </row>
    <row r="25" spans="1:7" x14ac:dyDescent="0.2">
      <c r="A25" s="4">
        <v>7</v>
      </c>
      <c r="B25" s="6"/>
      <c r="C25" s="6">
        <f t="shared" si="0"/>
        <v>3300</v>
      </c>
      <c r="D25" s="6"/>
      <c r="E25" s="3"/>
    </row>
    <row r="26" spans="1:7" x14ac:dyDescent="0.2">
      <c r="A26" s="4">
        <v>8</v>
      </c>
      <c r="B26" s="6"/>
      <c r="C26" s="6">
        <f t="shared" si="0"/>
        <v>3300</v>
      </c>
      <c r="D26" s="6"/>
      <c r="E26" s="3"/>
    </row>
    <row r="27" spans="1:7" x14ac:dyDescent="0.2">
      <c r="A27" s="4">
        <v>9</v>
      </c>
      <c r="B27" s="6"/>
      <c r="C27" s="6">
        <f t="shared" si="0"/>
        <v>3300</v>
      </c>
      <c r="D27" s="6"/>
      <c r="E27" s="3"/>
    </row>
    <row r="28" spans="1:7" x14ac:dyDescent="0.2">
      <c r="A28" s="4">
        <v>10</v>
      </c>
      <c r="B28" s="6"/>
      <c r="C28" s="6">
        <f t="shared" si="0"/>
        <v>3300</v>
      </c>
      <c r="D28" s="6"/>
      <c r="E28" s="3"/>
    </row>
    <row r="29" spans="1:7" x14ac:dyDescent="0.2">
      <c r="A29" s="4">
        <v>11</v>
      </c>
      <c r="B29" s="6"/>
      <c r="C29" s="6">
        <f t="shared" si="0"/>
        <v>3300</v>
      </c>
      <c r="D29" s="6"/>
      <c r="E29" s="3"/>
    </row>
    <row r="30" spans="1:7" x14ac:dyDescent="0.2">
      <c r="A30" s="4">
        <v>12</v>
      </c>
      <c r="B30" s="6"/>
      <c r="C30" s="6">
        <f t="shared" si="0"/>
        <v>3300</v>
      </c>
      <c r="D30" s="6"/>
      <c r="E30" s="3"/>
    </row>
    <row r="31" spans="1:7" x14ac:dyDescent="0.2">
      <c r="A31" s="4">
        <v>13</v>
      </c>
      <c r="B31" s="6"/>
      <c r="C31" s="6">
        <f t="shared" si="0"/>
        <v>3300</v>
      </c>
      <c r="D31" s="6"/>
      <c r="E31" s="3"/>
    </row>
    <row r="32" spans="1:7" x14ac:dyDescent="0.2">
      <c r="A32" s="4">
        <v>14</v>
      </c>
      <c r="B32" s="6"/>
      <c r="C32" s="6">
        <f t="shared" si="0"/>
        <v>3300</v>
      </c>
      <c r="D32" s="6"/>
      <c r="E32" s="3"/>
    </row>
    <row r="33" spans="1:5" x14ac:dyDescent="0.2">
      <c r="A33" s="4">
        <v>15</v>
      </c>
      <c r="B33" s="6"/>
      <c r="C33" s="6">
        <f t="shared" si="0"/>
        <v>3300</v>
      </c>
      <c r="D33" s="6"/>
      <c r="E33" s="3"/>
    </row>
    <row r="34" spans="1:5" x14ac:dyDescent="0.2">
      <c r="A34" s="4">
        <v>16</v>
      </c>
      <c r="B34" s="6"/>
      <c r="C34" s="6">
        <f t="shared" si="0"/>
        <v>3300</v>
      </c>
      <c r="D34" s="6"/>
      <c r="E34" s="3"/>
    </row>
    <row r="35" spans="1:5" x14ac:dyDescent="0.2">
      <c r="A35" s="4">
        <v>17</v>
      </c>
      <c r="B35" s="6"/>
      <c r="C35" s="6">
        <f t="shared" si="0"/>
        <v>3300</v>
      </c>
      <c r="D35" s="6"/>
      <c r="E35" s="3"/>
    </row>
    <row r="36" spans="1:5" x14ac:dyDescent="0.2">
      <c r="A36" s="4">
        <v>18</v>
      </c>
      <c r="B36" s="6"/>
      <c r="C36" s="6">
        <f t="shared" si="0"/>
        <v>3300</v>
      </c>
      <c r="D36" s="6"/>
      <c r="E36" s="3"/>
    </row>
    <row r="37" spans="1:5" x14ac:dyDescent="0.2">
      <c r="A37" s="4">
        <v>19</v>
      </c>
      <c r="B37" s="6"/>
      <c r="C37" s="6">
        <f t="shared" si="0"/>
        <v>3300</v>
      </c>
      <c r="D37" s="6"/>
      <c r="E37" s="3"/>
    </row>
    <row r="38" spans="1:5" x14ac:dyDescent="0.2">
      <c r="A38" s="4">
        <v>20</v>
      </c>
      <c r="B38" s="6">
        <f>B19+B20+B21+B22+B23</f>
        <v>139984</v>
      </c>
      <c r="C38" s="6">
        <f t="shared" si="0"/>
        <v>3300</v>
      </c>
      <c r="D38" s="6">
        <f>C6*515%</f>
        <v>154500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2D45-D90A-174C-9E99-D996FAA7657A}">
  <dimension ref="A2:G45"/>
  <sheetViews>
    <sheetView topLeftCell="A6" workbookViewId="0">
      <selection activeCell="D12" sqref="D12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5.73828125" style="2" customWidth="1"/>
    <col min="4" max="4" width="20.04296875" style="2" customWidth="1"/>
    <col min="5" max="5" width="17.890625" style="2" customWidth="1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9" t="s">
        <v>17</v>
      </c>
    </row>
    <row r="3" spans="2:4" x14ac:dyDescent="0.2">
      <c r="B3" s="2" t="s">
        <v>8</v>
      </c>
      <c r="C3" s="16">
        <f>SUM(C23:C38)+D38</f>
        <v>207300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30000</v>
      </c>
      <c r="D6" s="17">
        <v>30000</v>
      </c>
    </row>
    <row r="7" spans="2:4" x14ac:dyDescent="0.2">
      <c r="B7" s="5" t="s">
        <v>10</v>
      </c>
      <c r="C7" s="10">
        <v>1488</v>
      </c>
      <c r="D7" s="4"/>
    </row>
    <row r="8" spans="2:4" x14ac:dyDescent="0.2">
      <c r="B8" s="5" t="s">
        <v>11</v>
      </c>
      <c r="C8" s="10">
        <v>2678</v>
      </c>
      <c r="D8" s="4"/>
    </row>
    <row r="9" spans="2:4" x14ac:dyDescent="0.2">
      <c r="B9" s="5" t="s">
        <v>0</v>
      </c>
      <c r="C9" s="18">
        <f>C6*10%</f>
        <v>3000</v>
      </c>
      <c r="D9" s="18">
        <f>D6*5%</f>
        <v>1500</v>
      </c>
    </row>
    <row r="10" spans="2:4" x14ac:dyDescent="0.2">
      <c r="B10" s="5" t="s">
        <v>1</v>
      </c>
      <c r="C10" s="11">
        <f>30%*C9</f>
        <v>900</v>
      </c>
      <c r="D10" s="11">
        <f>30%*D9</f>
        <v>450</v>
      </c>
    </row>
    <row r="11" spans="2:4" x14ac:dyDescent="0.2">
      <c r="B11" s="5" t="s">
        <v>16</v>
      </c>
      <c r="C11" s="11"/>
      <c r="D11" s="11"/>
    </row>
    <row r="12" spans="2:4" x14ac:dyDescent="0.2">
      <c r="B12" s="5" t="s">
        <v>12</v>
      </c>
      <c r="C12" s="11">
        <f>50%*C9</f>
        <v>1500</v>
      </c>
      <c r="D12" s="11">
        <f>25%*D9</f>
        <v>375</v>
      </c>
    </row>
    <row r="13" spans="2:4" x14ac:dyDescent="0.2">
      <c r="B13" s="5" t="s">
        <v>13</v>
      </c>
      <c r="C13" s="11"/>
      <c r="D13" s="11"/>
    </row>
    <row r="14" spans="2:4" x14ac:dyDescent="0.2">
      <c r="B14" s="12" t="s">
        <v>2</v>
      </c>
      <c r="C14" s="13">
        <f>C6-SUM(C7:C13)</f>
        <v>20434</v>
      </c>
      <c r="D14" s="13">
        <f>D6-SUM(D7:D13)</f>
        <v>27675</v>
      </c>
    </row>
    <row r="16" spans="2:4" x14ac:dyDescent="0.2">
      <c r="D16" s="14" t="s">
        <v>7</v>
      </c>
    </row>
    <row r="17" spans="1:7" x14ac:dyDescent="0.2">
      <c r="D17" s="15">
        <f>(C3-B38)/B38/20</f>
        <v>2.5049417489084708E-2</v>
      </c>
      <c r="F17" s="20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1"/>
    </row>
    <row r="19" spans="1:7" x14ac:dyDescent="0.2">
      <c r="A19" s="4">
        <v>1</v>
      </c>
      <c r="B19" s="6">
        <f>C14</f>
        <v>20434</v>
      </c>
      <c r="C19" s="6"/>
      <c r="D19" s="6"/>
      <c r="E19" s="3"/>
      <c r="F19" s="22"/>
      <c r="G19" s="19"/>
    </row>
    <row r="20" spans="1:7" x14ac:dyDescent="0.2">
      <c r="A20" s="4">
        <v>2</v>
      </c>
      <c r="B20" s="6">
        <f>D14</f>
        <v>27675</v>
      </c>
      <c r="C20" s="6"/>
      <c r="D20" s="6"/>
      <c r="E20" s="3"/>
      <c r="F20" s="22"/>
      <c r="G20" s="19"/>
    </row>
    <row r="21" spans="1:7" x14ac:dyDescent="0.2">
      <c r="A21" s="4">
        <v>3</v>
      </c>
      <c r="B21" s="6">
        <f>C6</f>
        <v>30000</v>
      </c>
      <c r="C21" s="6"/>
      <c r="D21" s="6"/>
      <c r="E21" s="3"/>
      <c r="G21" s="19"/>
    </row>
    <row r="22" spans="1:7" x14ac:dyDescent="0.2">
      <c r="A22" s="4">
        <v>4</v>
      </c>
      <c r="B22" s="6">
        <f>B21</f>
        <v>30000</v>
      </c>
      <c r="C22" s="6"/>
      <c r="D22" s="6"/>
      <c r="E22" s="3"/>
      <c r="G22" s="19"/>
    </row>
    <row r="23" spans="1:7" x14ac:dyDescent="0.2">
      <c r="A23" s="4">
        <v>5</v>
      </c>
      <c r="B23" s="6">
        <f>B22</f>
        <v>30000</v>
      </c>
      <c r="C23" s="6">
        <f>C$6*11%</f>
        <v>3300</v>
      </c>
      <c r="D23" s="6"/>
      <c r="E23" s="3"/>
      <c r="G23" s="19"/>
    </row>
    <row r="24" spans="1:7" x14ac:dyDescent="0.2">
      <c r="A24" s="4">
        <v>6</v>
      </c>
      <c r="C24" s="6">
        <f t="shared" ref="C24:C38" si="0">C$6*11%</f>
        <v>3300</v>
      </c>
      <c r="D24" s="6"/>
      <c r="E24" s="3"/>
    </row>
    <row r="25" spans="1:7" x14ac:dyDescent="0.2">
      <c r="A25" s="4">
        <v>7</v>
      </c>
      <c r="B25" s="6"/>
      <c r="C25" s="6">
        <f t="shared" si="0"/>
        <v>3300</v>
      </c>
      <c r="D25" s="6"/>
      <c r="E25" s="3"/>
    </row>
    <row r="26" spans="1:7" x14ac:dyDescent="0.2">
      <c r="A26" s="4">
        <v>8</v>
      </c>
      <c r="B26" s="6"/>
      <c r="C26" s="6">
        <f t="shared" si="0"/>
        <v>3300</v>
      </c>
      <c r="D26" s="6"/>
      <c r="E26" s="3"/>
    </row>
    <row r="27" spans="1:7" x14ac:dyDescent="0.2">
      <c r="A27" s="4">
        <v>9</v>
      </c>
      <c r="B27" s="6"/>
      <c r="C27" s="6">
        <f t="shared" si="0"/>
        <v>3300</v>
      </c>
      <c r="D27" s="6"/>
      <c r="E27" s="3"/>
    </row>
    <row r="28" spans="1:7" x14ac:dyDescent="0.2">
      <c r="A28" s="4">
        <v>10</v>
      </c>
      <c r="B28" s="6"/>
      <c r="C28" s="6">
        <f t="shared" si="0"/>
        <v>3300</v>
      </c>
      <c r="D28" s="6"/>
      <c r="E28" s="3"/>
    </row>
    <row r="29" spans="1:7" x14ac:dyDescent="0.2">
      <c r="A29" s="4">
        <v>11</v>
      </c>
      <c r="B29" s="6"/>
      <c r="C29" s="6">
        <f t="shared" si="0"/>
        <v>3300</v>
      </c>
      <c r="D29" s="6"/>
      <c r="E29" s="3"/>
    </row>
    <row r="30" spans="1:7" x14ac:dyDescent="0.2">
      <c r="A30" s="4">
        <v>12</v>
      </c>
      <c r="B30" s="6"/>
      <c r="C30" s="6">
        <f t="shared" si="0"/>
        <v>3300</v>
      </c>
      <c r="D30" s="6"/>
      <c r="E30" s="3"/>
    </row>
    <row r="31" spans="1:7" x14ac:dyDescent="0.2">
      <c r="A31" s="4">
        <v>13</v>
      </c>
      <c r="B31" s="6"/>
      <c r="C31" s="6">
        <f t="shared" si="0"/>
        <v>3300</v>
      </c>
      <c r="D31" s="6"/>
      <c r="E31" s="3"/>
    </row>
    <row r="32" spans="1:7" x14ac:dyDescent="0.2">
      <c r="A32" s="4">
        <v>14</v>
      </c>
      <c r="B32" s="6"/>
      <c r="C32" s="6">
        <f t="shared" si="0"/>
        <v>3300</v>
      </c>
      <c r="D32" s="6"/>
      <c r="E32" s="3"/>
    </row>
    <row r="33" spans="1:5" x14ac:dyDescent="0.2">
      <c r="A33" s="4">
        <v>15</v>
      </c>
      <c r="B33" s="6"/>
      <c r="C33" s="6">
        <f t="shared" si="0"/>
        <v>3300</v>
      </c>
      <c r="D33" s="6"/>
      <c r="E33" s="3"/>
    </row>
    <row r="34" spans="1:5" x14ac:dyDescent="0.2">
      <c r="A34" s="4">
        <v>16</v>
      </c>
      <c r="B34" s="6"/>
      <c r="C34" s="6">
        <f t="shared" si="0"/>
        <v>3300</v>
      </c>
      <c r="D34" s="6"/>
      <c r="E34" s="3"/>
    </row>
    <row r="35" spans="1:5" x14ac:dyDescent="0.2">
      <c r="A35" s="4">
        <v>17</v>
      </c>
      <c r="B35" s="6"/>
      <c r="C35" s="6">
        <f t="shared" si="0"/>
        <v>3300</v>
      </c>
      <c r="D35" s="6"/>
      <c r="E35" s="3"/>
    </row>
    <row r="36" spans="1:5" x14ac:dyDescent="0.2">
      <c r="A36" s="4">
        <v>18</v>
      </c>
      <c r="B36" s="6"/>
      <c r="C36" s="6">
        <f t="shared" si="0"/>
        <v>3300</v>
      </c>
      <c r="D36" s="6"/>
      <c r="E36" s="3"/>
    </row>
    <row r="37" spans="1:5" x14ac:dyDescent="0.2">
      <c r="A37" s="4">
        <v>19</v>
      </c>
      <c r="B37" s="6"/>
      <c r="C37" s="6">
        <f t="shared" si="0"/>
        <v>3300</v>
      </c>
      <c r="D37" s="6"/>
      <c r="E37" s="3"/>
    </row>
    <row r="38" spans="1:5" x14ac:dyDescent="0.2">
      <c r="A38" s="4">
        <v>20</v>
      </c>
      <c r="B38" s="6">
        <f>B19+B20+B21+B22+B23</f>
        <v>138109</v>
      </c>
      <c r="C38" s="6">
        <f t="shared" si="0"/>
        <v>3300</v>
      </c>
      <c r="D38" s="6">
        <f>C6*515%</f>
        <v>154500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D885-B54E-0847-8F3D-80B82B2738A8}">
  <dimension ref="A2:G45"/>
  <sheetViews>
    <sheetView topLeftCell="A7" workbookViewId="0">
      <selection activeCell="D13" sqref="D13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5.73828125" style="2" customWidth="1"/>
    <col min="4" max="4" width="20.04296875" style="2" customWidth="1"/>
    <col min="5" max="5" width="17.890625" style="2" customWidth="1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9" t="s">
        <v>17</v>
      </c>
    </row>
    <row r="3" spans="2:4" x14ac:dyDescent="0.2">
      <c r="B3" s="2" t="s">
        <v>8</v>
      </c>
      <c r="C3" s="16">
        <f>SUM(C23:C38)+D38</f>
        <v>207300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30000</v>
      </c>
      <c r="D6" s="17">
        <v>30000</v>
      </c>
    </row>
    <row r="7" spans="2:4" x14ac:dyDescent="0.2">
      <c r="B7" s="5" t="s">
        <v>10</v>
      </c>
      <c r="C7" s="10">
        <v>1488</v>
      </c>
      <c r="D7" s="4"/>
    </row>
    <row r="8" spans="2:4" x14ac:dyDescent="0.2">
      <c r="B8" s="5" t="s">
        <v>11</v>
      </c>
      <c r="C8" s="10">
        <v>2678</v>
      </c>
      <c r="D8" s="4"/>
    </row>
    <row r="9" spans="2:4" x14ac:dyDescent="0.2">
      <c r="B9" s="5" t="s">
        <v>0</v>
      </c>
      <c r="C9" s="18">
        <f>C6*10%</f>
        <v>3000</v>
      </c>
      <c r="D9" s="18">
        <f>D6*5%</f>
        <v>1500</v>
      </c>
    </row>
    <row r="10" spans="2:4" x14ac:dyDescent="0.2">
      <c r="B10" s="5" t="s">
        <v>1</v>
      </c>
      <c r="C10" s="11">
        <f>30%*C9</f>
        <v>900</v>
      </c>
      <c r="D10" s="11">
        <f>30%*D9</f>
        <v>450</v>
      </c>
    </row>
    <row r="11" spans="2:4" x14ac:dyDescent="0.2">
      <c r="B11" s="5" t="s">
        <v>16</v>
      </c>
      <c r="C11" s="11"/>
      <c r="D11" s="11"/>
    </row>
    <row r="12" spans="2:4" x14ac:dyDescent="0.2">
      <c r="B12" s="5" t="s">
        <v>12</v>
      </c>
      <c r="C12" s="11"/>
      <c r="D12" s="11"/>
    </row>
    <row r="13" spans="2:4" x14ac:dyDescent="0.2">
      <c r="B13" s="5" t="s">
        <v>13</v>
      </c>
      <c r="C13" s="11">
        <f>100%*C9</f>
        <v>3000</v>
      </c>
      <c r="D13" s="11">
        <f>50%*D9</f>
        <v>750</v>
      </c>
    </row>
    <row r="14" spans="2:4" x14ac:dyDescent="0.2">
      <c r="B14" s="12" t="s">
        <v>2</v>
      </c>
      <c r="C14" s="13">
        <f>C6-SUM(C7:C13)</f>
        <v>18934</v>
      </c>
      <c r="D14" s="13">
        <f>D6-SUM(D7:D13)</f>
        <v>27300</v>
      </c>
    </row>
    <row r="16" spans="2:4" x14ac:dyDescent="0.2">
      <c r="D16" s="14" t="s">
        <v>7</v>
      </c>
    </row>
    <row r="17" spans="1:7" x14ac:dyDescent="0.2">
      <c r="D17" s="15">
        <f>(C3-B38)/B38/20</f>
        <v>2.6082328934039962E-2</v>
      </c>
      <c r="F17" s="20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1"/>
    </row>
    <row r="19" spans="1:7" x14ac:dyDescent="0.2">
      <c r="A19" s="4">
        <v>1</v>
      </c>
      <c r="B19" s="6">
        <f>C14</f>
        <v>18934</v>
      </c>
      <c r="C19" s="6"/>
      <c r="D19" s="6"/>
      <c r="E19" s="3"/>
      <c r="F19" s="22"/>
      <c r="G19" s="19"/>
    </row>
    <row r="20" spans="1:7" x14ac:dyDescent="0.2">
      <c r="A20" s="4">
        <v>2</v>
      </c>
      <c r="B20" s="6">
        <f>D14</f>
        <v>27300</v>
      </c>
      <c r="C20" s="6"/>
      <c r="D20" s="6"/>
      <c r="E20" s="3"/>
      <c r="F20" s="22"/>
      <c r="G20" s="19"/>
    </row>
    <row r="21" spans="1:7" x14ac:dyDescent="0.2">
      <c r="A21" s="4">
        <v>3</v>
      </c>
      <c r="B21" s="6">
        <f>C6</f>
        <v>30000</v>
      </c>
      <c r="C21" s="6"/>
      <c r="D21" s="6"/>
      <c r="E21" s="3"/>
      <c r="G21" s="19"/>
    </row>
    <row r="22" spans="1:7" x14ac:dyDescent="0.2">
      <c r="A22" s="4">
        <v>4</v>
      </c>
      <c r="B22" s="6">
        <f>B21</f>
        <v>30000</v>
      </c>
      <c r="C22" s="6"/>
      <c r="D22" s="6"/>
      <c r="E22" s="3"/>
      <c r="G22" s="19"/>
    </row>
    <row r="23" spans="1:7" x14ac:dyDescent="0.2">
      <c r="A23" s="4">
        <v>5</v>
      </c>
      <c r="B23" s="6">
        <f>B22</f>
        <v>30000</v>
      </c>
      <c r="C23" s="6">
        <f>C$6*11%</f>
        <v>3300</v>
      </c>
      <c r="D23" s="6"/>
      <c r="E23" s="3"/>
      <c r="G23" s="19"/>
    </row>
    <row r="24" spans="1:7" x14ac:dyDescent="0.2">
      <c r="A24" s="4">
        <v>6</v>
      </c>
      <c r="C24" s="6">
        <f t="shared" ref="C24:C38" si="0">C$6*11%</f>
        <v>3300</v>
      </c>
      <c r="D24" s="6"/>
      <c r="E24" s="3"/>
    </row>
    <row r="25" spans="1:7" x14ac:dyDescent="0.2">
      <c r="A25" s="4">
        <v>7</v>
      </c>
      <c r="B25" s="6"/>
      <c r="C25" s="6">
        <f t="shared" si="0"/>
        <v>3300</v>
      </c>
      <c r="D25" s="6"/>
      <c r="E25" s="3"/>
    </row>
    <row r="26" spans="1:7" x14ac:dyDescent="0.2">
      <c r="A26" s="4">
        <v>8</v>
      </c>
      <c r="B26" s="6"/>
      <c r="C26" s="6">
        <f t="shared" si="0"/>
        <v>3300</v>
      </c>
      <c r="D26" s="6"/>
      <c r="E26" s="3"/>
    </row>
    <row r="27" spans="1:7" x14ac:dyDescent="0.2">
      <c r="A27" s="4">
        <v>9</v>
      </c>
      <c r="B27" s="6"/>
      <c r="C27" s="6">
        <f t="shared" si="0"/>
        <v>3300</v>
      </c>
      <c r="D27" s="6"/>
      <c r="E27" s="3"/>
    </row>
    <row r="28" spans="1:7" x14ac:dyDescent="0.2">
      <c r="A28" s="4">
        <v>10</v>
      </c>
      <c r="B28" s="6"/>
      <c r="C28" s="6">
        <f t="shared" si="0"/>
        <v>3300</v>
      </c>
      <c r="D28" s="6"/>
      <c r="E28" s="3"/>
    </row>
    <row r="29" spans="1:7" x14ac:dyDescent="0.2">
      <c r="A29" s="4">
        <v>11</v>
      </c>
      <c r="B29" s="6"/>
      <c r="C29" s="6">
        <f t="shared" si="0"/>
        <v>3300</v>
      </c>
      <c r="D29" s="6"/>
      <c r="E29" s="3"/>
    </row>
    <row r="30" spans="1:7" x14ac:dyDescent="0.2">
      <c r="A30" s="4">
        <v>12</v>
      </c>
      <c r="B30" s="6"/>
      <c r="C30" s="6">
        <f t="shared" si="0"/>
        <v>3300</v>
      </c>
      <c r="D30" s="6"/>
      <c r="E30" s="3"/>
    </row>
    <row r="31" spans="1:7" x14ac:dyDescent="0.2">
      <c r="A31" s="4">
        <v>13</v>
      </c>
      <c r="B31" s="6"/>
      <c r="C31" s="6">
        <f t="shared" si="0"/>
        <v>3300</v>
      </c>
      <c r="D31" s="6"/>
      <c r="E31" s="3"/>
    </row>
    <row r="32" spans="1:7" x14ac:dyDescent="0.2">
      <c r="A32" s="4">
        <v>14</v>
      </c>
      <c r="B32" s="6"/>
      <c r="C32" s="6">
        <f t="shared" si="0"/>
        <v>3300</v>
      </c>
      <c r="D32" s="6"/>
      <c r="E32" s="3"/>
    </row>
    <row r="33" spans="1:5" x14ac:dyDescent="0.2">
      <c r="A33" s="4">
        <v>15</v>
      </c>
      <c r="B33" s="6"/>
      <c r="C33" s="6">
        <f t="shared" si="0"/>
        <v>3300</v>
      </c>
      <c r="D33" s="6"/>
      <c r="E33" s="3"/>
    </row>
    <row r="34" spans="1:5" x14ac:dyDescent="0.2">
      <c r="A34" s="4">
        <v>16</v>
      </c>
      <c r="B34" s="6"/>
      <c r="C34" s="6">
        <f t="shared" si="0"/>
        <v>3300</v>
      </c>
      <c r="D34" s="6"/>
      <c r="E34" s="3"/>
    </row>
    <row r="35" spans="1:5" x14ac:dyDescent="0.2">
      <c r="A35" s="4">
        <v>17</v>
      </c>
      <c r="B35" s="6"/>
      <c r="C35" s="6">
        <f t="shared" si="0"/>
        <v>3300</v>
      </c>
      <c r="D35" s="6"/>
      <c r="E35" s="3"/>
    </row>
    <row r="36" spans="1:5" x14ac:dyDescent="0.2">
      <c r="A36" s="4">
        <v>18</v>
      </c>
      <c r="B36" s="6"/>
      <c r="C36" s="6">
        <f t="shared" si="0"/>
        <v>3300</v>
      </c>
      <c r="D36" s="6"/>
      <c r="E36" s="3"/>
    </row>
    <row r="37" spans="1:5" x14ac:dyDescent="0.2">
      <c r="A37" s="4">
        <v>19</v>
      </c>
      <c r="B37" s="6"/>
      <c r="C37" s="6">
        <f t="shared" si="0"/>
        <v>3300</v>
      </c>
      <c r="D37" s="6"/>
      <c r="E37" s="3"/>
    </row>
    <row r="38" spans="1:5" x14ac:dyDescent="0.2">
      <c r="A38" s="4">
        <v>20</v>
      </c>
      <c r="B38" s="6">
        <f>B19+B20+B21+B22+B23</f>
        <v>136234</v>
      </c>
      <c r="C38" s="6">
        <f t="shared" si="0"/>
        <v>3300</v>
      </c>
      <c r="D38" s="6">
        <f>C6*515%</f>
        <v>154500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46EE88EF4AE489A6BC5082514BC71" ma:contentTypeVersion="15" ma:contentTypeDescription="Create a new document." ma:contentTypeScope="" ma:versionID="30f8496e24aca21e85924253c746bdf3">
  <xsd:schema xmlns:xsd="http://www.w3.org/2001/XMLSchema" xmlns:xs="http://www.w3.org/2001/XMLSchema" xmlns:p="http://schemas.microsoft.com/office/2006/metadata/properties" xmlns:ns2="c4b513a5-65ca-4dbc-9f3d-88c3db0a4c58" xmlns:ns3="eea2a37d-5467-4c04-ace7-c677644bbece" targetNamespace="http://schemas.microsoft.com/office/2006/metadata/properties" ma:root="true" ma:fieldsID="9de86a5d295227000d52d8cf4191b4bb" ns2:_="" ns3:_="">
    <xsd:import namespace="c4b513a5-65ca-4dbc-9f3d-88c3db0a4c58"/>
    <xsd:import namespace="eea2a37d-5467-4c04-ace7-c677644bbe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13a5-65ca-4dbc-9f3d-88c3db0a4c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c746ca-7c32-42b4-841c-b574ac2791bd}" ma:internalName="TaxCatchAll" ma:showField="CatchAllData" ma:web="c4b513a5-65ca-4dbc-9f3d-88c3db0a4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2a37d-5467-4c04-ace7-c677644bb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D7E8A-0F41-40FE-A041-0A5AF0EDD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287725-5B3D-4108-9ED7-3225B19A3F3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4b513a5-65ca-4dbc-9f3d-88c3db0a4c58"/>
    <ds:schemaRef ds:uri="eea2a37d-5467-4c04-ace7-c677644bbe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MDWA C 20 - 5 pay (LP)</vt:lpstr>
      <vt:lpstr>MDWA C 20 - 5 pay (BP)</vt:lpstr>
      <vt:lpstr>MDWA C 20 - 5 pay (SBP)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Mandolang</dc:creator>
  <cp:lastModifiedBy>Kenny Mandolang</cp:lastModifiedBy>
  <dcterms:created xsi:type="dcterms:W3CDTF">2015-06-05T18:17:20Z</dcterms:created>
  <dcterms:modified xsi:type="dcterms:W3CDTF">2024-09-04T05:40:55Z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2024-08-09T03:02:03Z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6a666888-b417-4a42-a573-5008860e2375</vt:lpwstr>
  </property>
  <property fmtid="{D5CDD505-2E9C-101B-9397-08002B2CF9AE}" pid="8" name="MSIP_Label_3c9aa860-6a65-4942-a19a-0478291725e1_ContentBits">
    <vt:lpwstr>2</vt:lpwstr>
  </property>
</Properties>
</file>