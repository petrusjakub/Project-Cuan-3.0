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fc.sharepoint.com/sites/Agency/AGENCY Strategy Team1/Adhoc Project/202308 Kalkulator MDLA MiAction/"/>
    </mc:Choice>
  </mc:AlternateContent>
  <xr:revisionPtr revIDLastSave="0" documentId="13_ncr:41000001_{C2C8EB4A-8F47-7342-970C-81F1A37AF48A}" xr6:coauthVersionLast="47" xr6:coauthVersionMax="47" xr10:uidLastSave="{00000000-0000-0000-0000-000000000000}"/>
  <bookViews>
    <workbookView xWindow="0" yWindow="0" windowWidth="14400" windowHeight="15600" activeTab="5" xr2:uid="{00000000-000D-0000-FFFF-FFFF00000000}"/>
  </bookViews>
  <sheets>
    <sheet name="MDWA B 15 - 5 pay (LP)" sheetId="7" r:id="rId1"/>
    <sheet name="MDWA B 15 - 5 pay (BP)" sheetId="9" r:id="rId2"/>
    <sheet name="MDWA B 15 - 5 pay (SBP)" sheetId="6" r:id="rId3"/>
    <sheet name="MDWA B 20 - 5 pay (LP)" sheetId="11" r:id="rId4"/>
    <sheet name="MDWA B 20 - 5 pay (BP)" sheetId="10" r:id="rId5"/>
    <sheet name="MDWA B 20 - 5 pay (SBP)" sheetId="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9" i="1"/>
  <c r="C9" i="1"/>
  <c r="D17" i="10"/>
  <c r="D9" i="10"/>
  <c r="C9" i="10"/>
  <c r="D17" i="11"/>
  <c r="D9" i="11"/>
  <c r="C9" i="11"/>
  <c r="D9" i="6"/>
  <c r="D9" i="9"/>
  <c r="D9" i="7"/>
  <c r="C9" i="6"/>
  <c r="C9" i="9"/>
  <c r="C9" i="7"/>
  <c r="D38" i="1"/>
  <c r="C10" i="1"/>
  <c r="C13" i="1"/>
  <c r="C14" i="1"/>
  <c r="B19" i="1"/>
  <c r="D10" i="1"/>
  <c r="D13" i="1"/>
  <c r="D14" i="1"/>
  <c r="B20" i="1"/>
  <c r="B21" i="1"/>
  <c r="B22" i="1"/>
  <c r="B23" i="1"/>
  <c r="B38" i="1"/>
  <c r="D38" i="10"/>
  <c r="C10" i="10"/>
  <c r="C12" i="10"/>
  <c r="C14" i="10"/>
  <c r="B19" i="10"/>
  <c r="D10" i="10"/>
  <c r="D12" i="10"/>
  <c r="D14" i="10"/>
  <c r="B20" i="10"/>
  <c r="B21" i="10"/>
  <c r="B22" i="10"/>
  <c r="B23" i="10"/>
  <c r="B38" i="10"/>
  <c r="D38" i="11"/>
  <c r="C10" i="11"/>
  <c r="C14" i="11"/>
  <c r="B19" i="11"/>
  <c r="D10" i="11"/>
  <c r="D14" i="11"/>
  <c r="B20" i="11"/>
  <c r="B21" i="11"/>
  <c r="B22" i="11"/>
  <c r="B23" i="11"/>
  <c r="B38" i="11"/>
  <c r="D33" i="6"/>
  <c r="C10" i="6"/>
  <c r="C13" i="6"/>
  <c r="C14" i="6"/>
  <c r="B19" i="6"/>
  <c r="D10" i="6"/>
  <c r="D13" i="6"/>
  <c r="D14" i="6"/>
  <c r="B20" i="6"/>
  <c r="B21" i="6"/>
  <c r="B22" i="6"/>
  <c r="B23" i="6"/>
  <c r="B33" i="6"/>
  <c r="D17" i="6"/>
  <c r="D33" i="9"/>
  <c r="C10" i="9"/>
  <c r="C12" i="9"/>
  <c r="C14" i="9"/>
  <c r="B19" i="9"/>
  <c r="D10" i="9"/>
  <c r="D12" i="9"/>
  <c r="D14" i="9"/>
  <c r="B20" i="9"/>
  <c r="B21" i="9"/>
  <c r="B22" i="9"/>
  <c r="B23" i="9"/>
  <c r="B33" i="9"/>
  <c r="D17" i="9"/>
  <c r="D33" i="7"/>
  <c r="C10" i="7"/>
  <c r="C14" i="7"/>
  <c r="B19" i="7"/>
  <c r="D10" i="7"/>
  <c r="D14" i="7"/>
  <c r="B20" i="7"/>
  <c r="B21" i="7"/>
  <c r="B22" i="7"/>
  <c r="B23" i="7"/>
  <c r="B33" i="7"/>
  <c r="D17" i="7"/>
</calcChain>
</file>

<file path=xl/sharedStrings.xml><?xml version="1.0" encoding="utf-8"?>
<sst xmlns="http://schemas.openxmlformats.org/spreadsheetml/2006/main" count="114" uniqueCount="21">
  <si>
    <t>Komisi</t>
  </si>
  <si>
    <t>Quarterly Bonus</t>
  </si>
  <si>
    <t>Net Premi Tahun 1</t>
  </si>
  <si>
    <t>Premi</t>
  </si>
  <si>
    <t>Tahun 1</t>
  </si>
  <si>
    <t>Tahun 2</t>
  </si>
  <si>
    <t>Tahun</t>
  </si>
  <si>
    <t>% Bunga</t>
  </si>
  <si>
    <t>Manfaat Akhir</t>
  </si>
  <si>
    <t>Perhitungan</t>
  </si>
  <si>
    <t>Trip China (Signature Star)</t>
  </si>
  <si>
    <t>Trip Austria (BPC)</t>
  </si>
  <si>
    <t>OR BP</t>
  </si>
  <si>
    <t>OR SBP</t>
  </si>
  <si>
    <t>Tahapan Tahunan</t>
  </si>
  <si>
    <t>Manfaat Akhir Kontrak</t>
  </si>
  <si>
    <t>Trip Austria (BCC)</t>
  </si>
  <si>
    <t>Reguler Financing</t>
  </si>
  <si>
    <t>MDWA B, USD, Term 15 Tahun</t>
  </si>
  <si>
    <t>MDWA B, USD, Term 20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</si>
</sst>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64" fontId="0" fillId="2" borderId="0" xfId="1" applyNumberFormat="1" applyFont="1" applyFill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64" fontId="0" fillId="2" borderId="1" xfId="1" applyNumberFormat="1" applyFont="1" applyFill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164" fontId="0" fillId="2" borderId="1" xfId="1" applyNumberFormat="1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3" fillId="2" borderId="1" xfId="0" applyFont="1" applyFill="1" applyBorder="1"/>
    <xf numFmtId="164" fontId="3" fillId="2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0" fontId="2" fillId="4" borderId="1" xfId="2" applyNumberFormat="1" applyFont="1" applyFill="1" applyBorder="1" applyAlignment="1">
      <alignment horizontal="center"/>
    </xf>
    <xf numFmtId="164" fontId="0" fillId="5" borderId="0" xfId="1" applyNumberFormat="1" applyFont="1" applyFill="1"/>
    <xf numFmtId="164" fontId="0" fillId="5" borderId="1" xfId="1" applyNumberFormat="1" applyFon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2" borderId="0" xfId="0" applyNumberFormat="1" applyFill="1"/>
    <xf numFmtId="10" fontId="0" fillId="2" borderId="0" xfId="0" applyNumberFormat="1" applyFill="1"/>
    <xf numFmtId="0" fontId="4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5" fillId="6" borderId="0" xfId="0" applyFont="1" applyFill="1" applyBorder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0C231-38C8-AD42-872D-AFE3CA0EA41B}">
  <dimension ref="A2:G40"/>
  <sheetViews>
    <sheetView workbookViewId="0">
      <selection activeCell="D9" sqref="D9"/>
    </sheetView>
  </sheetViews>
  <sheetFormatPr defaultColWidth="9.14453125" defaultRowHeight="15" x14ac:dyDescent="0.2"/>
  <cols>
    <col min="1" max="1" width="9.14453125" style="1"/>
    <col min="2" max="2" width="26.23046875" style="2" customWidth="1"/>
    <col min="3" max="3" width="15.73828125" style="2" customWidth="1"/>
    <col min="4" max="4" width="20.04296875" style="2" customWidth="1"/>
    <col min="5" max="5" width="9.14453125" style="2"/>
    <col min="6" max="6" width="14.2578125" style="2" bestFit="1" customWidth="1"/>
    <col min="7" max="7" width="13.44921875" style="2" bestFit="1" customWidth="1"/>
    <col min="8" max="8" width="11.97265625" style="2" bestFit="1" customWidth="1"/>
    <col min="9" max="16384" width="9.14453125" style="2"/>
  </cols>
  <sheetData>
    <row r="2" spans="2:4" x14ac:dyDescent="0.2">
      <c r="B2" s="22" t="s">
        <v>18</v>
      </c>
    </row>
    <row r="3" spans="2:4" x14ac:dyDescent="0.2">
      <c r="B3" s="2" t="s">
        <v>8</v>
      </c>
      <c r="C3" s="15">
        <v>158925</v>
      </c>
    </row>
    <row r="5" spans="2:4" x14ac:dyDescent="0.2">
      <c r="B5" s="8" t="s">
        <v>9</v>
      </c>
      <c r="C5" s="7" t="s">
        <v>4</v>
      </c>
      <c r="D5" s="7" t="s">
        <v>5</v>
      </c>
    </row>
    <row r="6" spans="2:4" x14ac:dyDescent="0.2">
      <c r="B6" s="5" t="s">
        <v>3</v>
      </c>
      <c r="C6" s="16">
        <v>26000</v>
      </c>
      <c r="D6" s="16">
        <v>26000</v>
      </c>
    </row>
    <row r="7" spans="2:4" x14ac:dyDescent="0.2">
      <c r="B7" s="5" t="s">
        <v>10</v>
      </c>
      <c r="C7" s="9">
        <v>1488</v>
      </c>
      <c r="D7" s="4"/>
    </row>
    <row r="8" spans="2:4" x14ac:dyDescent="0.2">
      <c r="B8" s="5" t="s">
        <v>11</v>
      </c>
      <c r="C8" s="9">
        <v>2678</v>
      </c>
      <c r="D8" s="4"/>
    </row>
    <row r="9" spans="2:4" x14ac:dyDescent="0.2">
      <c r="B9" s="5" t="s">
        <v>0</v>
      </c>
      <c r="C9" s="17">
        <f>C6*7.5%</f>
        <v>1950</v>
      </c>
      <c r="D9" s="17">
        <f>D6*5%</f>
        <v>1300</v>
      </c>
    </row>
    <row r="10" spans="2:4" x14ac:dyDescent="0.2">
      <c r="B10" s="5" t="s">
        <v>1</v>
      </c>
      <c r="C10" s="10">
        <f>30%*C9</f>
        <v>585</v>
      </c>
      <c r="D10" s="10">
        <f>30%*D9</f>
        <v>390</v>
      </c>
    </row>
    <row r="11" spans="2:4" x14ac:dyDescent="0.2">
      <c r="B11" s="5" t="s">
        <v>17</v>
      </c>
      <c r="C11" s="10"/>
      <c r="D11" s="10"/>
    </row>
    <row r="12" spans="2:4" x14ac:dyDescent="0.2">
      <c r="B12" s="5" t="s">
        <v>12</v>
      </c>
      <c r="C12" s="10"/>
      <c r="D12" s="10"/>
    </row>
    <row r="13" spans="2:4" x14ac:dyDescent="0.2">
      <c r="B13" s="5" t="s">
        <v>13</v>
      </c>
      <c r="C13" s="10"/>
      <c r="D13" s="10"/>
    </row>
    <row r="14" spans="2:4" x14ac:dyDescent="0.2">
      <c r="B14" s="11" t="s">
        <v>2</v>
      </c>
      <c r="C14" s="12">
        <f>C6-SUM(C7:C13)</f>
        <v>19299</v>
      </c>
      <c r="D14" s="12">
        <f>D6-SUM(D7:D13)</f>
        <v>24310</v>
      </c>
    </row>
    <row r="16" spans="2:4" x14ac:dyDescent="0.2">
      <c r="D16" s="13" t="s">
        <v>7</v>
      </c>
    </row>
    <row r="17" spans="1:7" x14ac:dyDescent="0.2">
      <c r="D17" s="14">
        <f>(D33-B33)/B33/15</f>
        <v>2.0456819259539454E-2</v>
      </c>
      <c r="F17" s="19"/>
    </row>
    <row r="18" spans="1:7" x14ac:dyDescent="0.2">
      <c r="A18" s="7" t="s">
        <v>6</v>
      </c>
      <c r="B18" s="8" t="s">
        <v>3</v>
      </c>
      <c r="C18" s="8" t="s">
        <v>14</v>
      </c>
      <c r="D18" s="8" t="s">
        <v>15</v>
      </c>
      <c r="F18" s="20"/>
    </row>
    <row r="19" spans="1:7" x14ac:dyDescent="0.2">
      <c r="A19" s="4">
        <v>1</v>
      </c>
      <c r="B19" s="6">
        <f>C14</f>
        <v>19299</v>
      </c>
      <c r="C19" s="6"/>
      <c r="D19" s="6"/>
      <c r="E19" s="3"/>
      <c r="F19" s="21"/>
      <c r="G19" s="18"/>
    </row>
    <row r="20" spans="1:7" x14ac:dyDescent="0.2">
      <c r="A20" s="4">
        <v>2</v>
      </c>
      <c r="B20" s="6">
        <f>D14</f>
        <v>24310</v>
      </c>
      <c r="C20" s="6"/>
      <c r="D20" s="6"/>
      <c r="E20" s="3"/>
      <c r="F20" s="21"/>
      <c r="G20" s="18"/>
    </row>
    <row r="21" spans="1:7" x14ac:dyDescent="0.2">
      <c r="A21" s="4">
        <v>3</v>
      </c>
      <c r="B21" s="6">
        <f>C6</f>
        <v>26000</v>
      </c>
      <c r="C21" s="6"/>
      <c r="D21" s="6"/>
      <c r="E21" s="3"/>
      <c r="F21" s="21"/>
      <c r="G21" s="18"/>
    </row>
    <row r="22" spans="1:7" x14ac:dyDescent="0.2">
      <c r="A22" s="4">
        <v>4</v>
      </c>
      <c r="B22" s="6">
        <f>B21</f>
        <v>26000</v>
      </c>
      <c r="C22" s="6"/>
      <c r="D22" s="6"/>
      <c r="E22" s="3"/>
      <c r="F22" s="21"/>
      <c r="G22" s="18"/>
    </row>
    <row r="23" spans="1:7" x14ac:dyDescent="0.2">
      <c r="A23" s="4">
        <v>5</v>
      </c>
      <c r="B23" s="6">
        <f>B22</f>
        <v>26000</v>
      </c>
      <c r="C23" s="6"/>
      <c r="D23" s="6"/>
      <c r="E23" s="3"/>
      <c r="F23" s="21"/>
      <c r="G23" s="18"/>
    </row>
    <row r="24" spans="1:7" x14ac:dyDescent="0.2">
      <c r="A24" s="4">
        <v>6</v>
      </c>
      <c r="C24" s="6"/>
      <c r="D24" s="6"/>
      <c r="E24" s="3"/>
      <c r="F24" s="20"/>
    </row>
    <row r="25" spans="1:7" x14ac:dyDescent="0.2">
      <c r="A25" s="4">
        <v>7</v>
      </c>
      <c r="B25" s="6"/>
      <c r="C25" s="6"/>
      <c r="D25" s="6"/>
      <c r="E25" s="3"/>
      <c r="F25" s="20"/>
    </row>
    <row r="26" spans="1:7" x14ac:dyDescent="0.2">
      <c r="A26" s="4">
        <v>8</v>
      </c>
      <c r="B26" s="6"/>
      <c r="C26" s="6"/>
      <c r="D26" s="6"/>
      <c r="E26" s="3"/>
      <c r="F26" s="20"/>
    </row>
    <row r="27" spans="1:7" x14ac:dyDescent="0.2">
      <c r="A27" s="4">
        <v>9</v>
      </c>
      <c r="B27" s="6"/>
      <c r="C27" s="6"/>
      <c r="D27" s="6"/>
      <c r="E27" s="3"/>
      <c r="F27" s="20"/>
    </row>
    <row r="28" spans="1:7" x14ac:dyDescent="0.2">
      <c r="A28" s="4">
        <v>10</v>
      </c>
      <c r="B28" s="6"/>
      <c r="C28" s="6"/>
      <c r="D28" s="6"/>
      <c r="E28" s="3"/>
      <c r="F28" s="20"/>
    </row>
    <row r="29" spans="1:7" x14ac:dyDescent="0.2">
      <c r="A29" s="4">
        <v>11</v>
      </c>
      <c r="B29" s="6"/>
      <c r="C29" s="6"/>
      <c r="D29" s="6"/>
      <c r="E29" s="3"/>
      <c r="F29" s="20"/>
    </row>
    <row r="30" spans="1:7" x14ac:dyDescent="0.2">
      <c r="A30" s="4">
        <v>12</v>
      </c>
      <c r="B30" s="6"/>
      <c r="C30" s="6"/>
      <c r="D30" s="6"/>
      <c r="E30" s="3"/>
      <c r="F30" s="20"/>
    </row>
    <row r="31" spans="1:7" x14ac:dyDescent="0.2">
      <c r="A31" s="4">
        <v>13</v>
      </c>
      <c r="B31" s="6"/>
      <c r="C31" s="6"/>
      <c r="D31" s="6"/>
      <c r="E31" s="3"/>
      <c r="F31" s="20"/>
    </row>
    <row r="32" spans="1:7" x14ac:dyDescent="0.2">
      <c r="A32" s="4">
        <v>14</v>
      </c>
      <c r="B32" s="6"/>
      <c r="C32" s="6"/>
      <c r="D32" s="6"/>
      <c r="E32" s="3"/>
      <c r="F32" s="20"/>
    </row>
    <row r="33" spans="1:6" x14ac:dyDescent="0.2">
      <c r="A33" s="4">
        <v>15</v>
      </c>
      <c r="B33" s="6">
        <f>B19+B20+B21+B22+B23</f>
        <v>121609</v>
      </c>
      <c r="C33" s="6"/>
      <c r="D33" s="6">
        <f>C3</f>
        <v>158925</v>
      </c>
      <c r="E33" s="3"/>
      <c r="F33" s="21"/>
    </row>
    <row r="34" spans="1:6" x14ac:dyDescent="0.2">
      <c r="B34" s="3"/>
      <c r="C34" s="3"/>
      <c r="D34" s="3"/>
      <c r="E34" s="3"/>
    </row>
    <row r="35" spans="1:6" x14ac:dyDescent="0.2">
      <c r="B35" s="3"/>
      <c r="C35" s="3"/>
      <c r="D35" s="3"/>
      <c r="E35" s="3"/>
    </row>
    <row r="36" spans="1:6" x14ac:dyDescent="0.2">
      <c r="B36" s="3"/>
      <c r="C36" s="3"/>
      <c r="D36" s="3"/>
      <c r="E36" s="3"/>
    </row>
    <row r="37" spans="1:6" x14ac:dyDescent="0.2">
      <c r="B37" s="3"/>
      <c r="C37" s="3"/>
      <c r="D37" s="3"/>
      <c r="E37" s="3"/>
    </row>
    <row r="38" spans="1:6" x14ac:dyDescent="0.2">
      <c r="B38" s="3"/>
      <c r="C38" s="3"/>
      <c r="D38" s="3"/>
      <c r="E38" s="3"/>
    </row>
    <row r="39" spans="1:6" x14ac:dyDescent="0.2">
      <c r="B39" s="3"/>
      <c r="C39" s="3"/>
      <c r="D39" s="3"/>
      <c r="E39" s="3"/>
    </row>
    <row r="40" spans="1:6" x14ac:dyDescent="0.2">
      <c r="B40" s="3"/>
      <c r="C40" s="3"/>
      <c r="D40" s="3"/>
      <c r="E40" s="3"/>
    </row>
  </sheetData>
  <pageMargins left="0.7" right="0.7" top="0.75" bottom="0.75" header="0.3" footer="0.3"/>
  <pageSetup orientation="portrait" r:id="rId1"/>
  <headerFooter>
    <oddFooter>&amp;C_x000D_&amp;1#&amp;"Calibri"&amp;10&amp;K000000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DB6B-9C6B-2548-99C3-105A2CCD8348}">
  <dimension ref="A2:G40"/>
  <sheetViews>
    <sheetView workbookViewId="0">
      <selection activeCell="D9" sqref="D9"/>
    </sheetView>
  </sheetViews>
  <sheetFormatPr defaultColWidth="9.14453125" defaultRowHeight="15" x14ac:dyDescent="0.2"/>
  <cols>
    <col min="1" max="1" width="9.14453125" style="1"/>
    <col min="2" max="2" width="26.23046875" style="2" customWidth="1"/>
    <col min="3" max="3" width="15.73828125" style="2" customWidth="1"/>
    <col min="4" max="4" width="20.04296875" style="2" customWidth="1"/>
    <col min="5" max="5" width="9.14453125" style="2"/>
    <col min="6" max="6" width="14.2578125" style="2" bestFit="1" customWidth="1"/>
    <col min="7" max="7" width="13.44921875" style="2" bestFit="1" customWidth="1"/>
    <col min="8" max="8" width="11.97265625" style="2" bestFit="1" customWidth="1"/>
    <col min="9" max="16384" width="9.14453125" style="2"/>
  </cols>
  <sheetData>
    <row r="2" spans="2:4" x14ac:dyDescent="0.2">
      <c r="B2" s="22" t="s">
        <v>18</v>
      </c>
    </row>
    <row r="3" spans="2:4" x14ac:dyDescent="0.2">
      <c r="B3" s="2" t="s">
        <v>8</v>
      </c>
      <c r="C3" s="15">
        <v>158925</v>
      </c>
    </row>
    <row r="5" spans="2:4" x14ac:dyDescent="0.2">
      <c r="B5" s="8" t="s">
        <v>9</v>
      </c>
      <c r="C5" s="7" t="s">
        <v>4</v>
      </c>
      <c r="D5" s="7" t="s">
        <v>5</v>
      </c>
    </row>
    <row r="6" spans="2:4" x14ac:dyDescent="0.2">
      <c r="B6" s="5" t="s">
        <v>3</v>
      </c>
      <c r="C6" s="16">
        <v>26000</v>
      </c>
      <c r="D6" s="16">
        <v>26000</v>
      </c>
    </row>
    <row r="7" spans="2:4" x14ac:dyDescent="0.2">
      <c r="B7" s="5" t="s">
        <v>10</v>
      </c>
      <c r="C7" s="9">
        <v>1488</v>
      </c>
      <c r="D7" s="4"/>
    </row>
    <row r="8" spans="2:4" x14ac:dyDescent="0.2">
      <c r="B8" s="5" t="s">
        <v>11</v>
      </c>
      <c r="C8" s="9">
        <v>2678</v>
      </c>
      <c r="D8" s="4"/>
    </row>
    <row r="9" spans="2:4" x14ac:dyDescent="0.2">
      <c r="B9" s="5" t="s">
        <v>0</v>
      </c>
      <c r="C9" s="17">
        <f>C6*7.5%</f>
        <v>1950</v>
      </c>
      <c r="D9" s="17">
        <f>D6*5%</f>
        <v>1300</v>
      </c>
    </row>
    <row r="10" spans="2:4" x14ac:dyDescent="0.2">
      <c r="B10" s="5" t="s">
        <v>1</v>
      </c>
      <c r="C10" s="10">
        <f>30%*C9</f>
        <v>585</v>
      </c>
      <c r="D10" s="10">
        <f>30%*D9</f>
        <v>390</v>
      </c>
    </row>
    <row r="11" spans="2:4" x14ac:dyDescent="0.2">
      <c r="B11" s="5" t="s">
        <v>17</v>
      </c>
      <c r="C11" s="10"/>
      <c r="D11" s="10"/>
    </row>
    <row r="12" spans="2:4" x14ac:dyDescent="0.2">
      <c r="B12" s="5" t="s">
        <v>12</v>
      </c>
      <c r="C12" s="10">
        <f>50%*C$9</f>
        <v>975</v>
      </c>
      <c r="D12" s="10">
        <f>25%*D$9</f>
        <v>325</v>
      </c>
    </row>
    <row r="13" spans="2:4" x14ac:dyDescent="0.2">
      <c r="B13" s="5" t="s">
        <v>13</v>
      </c>
      <c r="C13" s="10"/>
      <c r="D13" s="10"/>
    </row>
    <row r="14" spans="2:4" x14ac:dyDescent="0.2">
      <c r="B14" s="11" t="s">
        <v>2</v>
      </c>
      <c r="C14" s="12">
        <f>C6-SUM(C7:C13)</f>
        <v>18324</v>
      </c>
      <c r="D14" s="12">
        <f>D6-SUM(D7:D13)</f>
        <v>23985</v>
      </c>
    </row>
    <row r="16" spans="2:4" x14ac:dyDescent="0.2">
      <c r="D16" s="13" t="s">
        <v>7</v>
      </c>
    </row>
    <row r="17" spans="1:7" x14ac:dyDescent="0.2">
      <c r="D17" s="14">
        <f>(D33-B33)/B33/15</f>
        <v>2.1398232883657917E-2</v>
      </c>
      <c r="F17" s="19"/>
    </row>
    <row r="18" spans="1:7" x14ac:dyDescent="0.2">
      <c r="A18" s="7" t="s">
        <v>6</v>
      </c>
      <c r="B18" s="8" t="s">
        <v>3</v>
      </c>
      <c r="C18" s="8" t="s">
        <v>14</v>
      </c>
      <c r="D18" s="8" t="s">
        <v>15</v>
      </c>
      <c r="F18" s="20"/>
    </row>
    <row r="19" spans="1:7" x14ac:dyDescent="0.2">
      <c r="A19" s="4">
        <v>1</v>
      </c>
      <c r="B19" s="6">
        <f>C14</f>
        <v>18324</v>
      </c>
      <c r="C19" s="6"/>
      <c r="D19" s="6"/>
      <c r="E19" s="3"/>
      <c r="F19" s="21"/>
      <c r="G19" s="18"/>
    </row>
    <row r="20" spans="1:7" x14ac:dyDescent="0.2">
      <c r="A20" s="4">
        <v>2</v>
      </c>
      <c r="B20" s="6">
        <f>D14</f>
        <v>23985</v>
      </c>
      <c r="C20" s="6"/>
      <c r="D20" s="6"/>
      <c r="E20" s="3"/>
      <c r="F20" s="21"/>
      <c r="G20" s="18"/>
    </row>
    <row r="21" spans="1:7" x14ac:dyDescent="0.2">
      <c r="A21" s="4">
        <v>3</v>
      </c>
      <c r="B21" s="6">
        <f>C6</f>
        <v>26000</v>
      </c>
      <c r="C21" s="6"/>
      <c r="D21" s="6"/>
      <c r="E21" s="3"/>
      <c r="F21" s="21"/>
      <c r="G21" s="18"/>
    </row>
    <row r="22" spans="1:7" x14ac:dyDescent="0.2">
      <c r="A22" s="4">
        <v>4</v>
      </c>
      <c r="B22" s="6">
        <f>B21</f>
        <v>26000</v>
      </c>
      <c r="C22" s="6"/>
      <c r="D22" s="6"/>
      <c r="E22" s="3"/>
      <c r="F22" s="21"/>
      <c r="G22" s="18"/>
    </row>
    <row r="23" spans="1:7" x14ac:dyDescent="0.2">
      <c r="A23" s="4">
        <v>5</v>
      </c>
      <c r="B23" s="6">
        <f>B22</f>
        <v>26000</v>
      </c>
      <c r="C23" s="6"/>
      <c r="D23" s="6"/>
      <c r="E23" s="3"/>
      <c r="F23" s="21"/>
      <c r="G23" s="18"/>
    </row>
    <row r="24" spans="1:7" x14ac:dyDescent="0.2">
      <c r="A24" s="4">
        <v>6</v>
      </c>
      <c r="C24" s="6"/>
      <c r="D24" s="6"/>
      <c r="E24" s="3"/>
      <c r="F24" s="20"/>
    </row>
    <row r="25" spans="1:7" x14ac:dyDescent="0.2">
      <c r="A25" s="4">
        <v>7</v>
      </c>
      <c r="B25" s="6"/>
      <c r="C25" s="6"/>
      <c r="D25" s="6"/>
      <c r="E25" s="3"/>
      <c r="F25" s="20"/>
    </row>
    <row r="26" spans="1:7" x14ac:dyDescent="0.2">
      <c r="A26" s="4">
        <v>8</v>
      </c>
      <c r="B26" s="6"/>
      <c r="C26" s="6"/>
      <c r="D26" s="6"/>
      <c r="E26" s="3"/>
      <c r="F26" s="20"/>
    </row>
    <row r="27" spans="1:7" x14ac:dyDescent="0.2">
      <c r="A27" s="4">
        <v>9</v>
      </c>
      <c r="B27" s="6"/>
      <c r="C27" s="6"/>
      <c r="D27" s="6"/>
      <c r="E27" s="3"/>
      <c r="F27" s="20"/>
    </row>
    <row r="28" spans="1:7" x14ac:dyDescent="0.2">
      <c r="A28" s="4">
        <v>10</v>
      </c>
      <c r="B28" s="6"/>
      <c r="C28" s="6"/>
      <c r="D28" s="6"/>
      <c r="E28" s="3"/>
      <c r="F28" s="20"/>
    </row>
    <row r="29" spans="1:7" x14ac:dyDescent="0.2">
      <c r="A29" s="4">
        <v>11</v>
      </c>
      <c r="B29" s="6"/>
      <c r="C29" s="6"/>
      <c r="D29" s="6"/>
      <c r="E29" s="3"/>
      <c r="F29" s="20"/>
    </row>
    <row r="30" spans="1:7" x14ac:dyDescent="0.2">
      <c r="A30" s="4">
        <v>12</v>
      </c>
      <c r="B30" s="6"/>
      <c r="C30" s="6"/>
      <c r="D30" s="6"/>
      <c r="E30" s="3"/>
      <c r="F30" s="20"/>
    </row>
    <row r="31" spans="1:7" x14ac:dyDescent="0.2">
      <c r="A31" s="4">
        <v>13</v>
      </c>
      <c r="B31" s="6"/>
      <c r="C31" s="6"/>
      <c r="D31" s="6"/>
      <c r="E31" s="3"/>
      <c r="F31" s="20"/>
    </row>
    <row r="32" spans="1:7" x14ac:dyDescent="0.2">
      <c r="A32" s="4">
        <v>14</v>
      </c>
      <c r="B32" s="6"/>
      <c r="C32" s="6"/>
      <c r="D32" s="6"/>
      <c r="E32" s="3"/>
      <c r="F32" s="20"/>
    </row>
    <row r="33" spans="1:6" x14ac:dyDescent="0.2">
      <c r="A33" s="4">
        <v>15</v>
      </c>
      <c r="B33" s="6">
        <f>B19+B20+B21+B22+B23</f>
        <v>120309</v>
      </c>
      <c r="C33" s="6"/>
      <c r="D33" s="6">
        <f>C3</f>
        <v>158925</v>
      </c>
      <c r="E33" s="3"/>
      <c r="F33" s="21"/>
    </row>
    <row r="34" spans="1:6" x14ac:dyDescent="0.2">
      <c r="B34" s="3"/>
      <c r="C34" s="3"/>
      <c r="D34" s="3"/>
      <c r="E34" s="3"/>
    </row>
    <row r="35" spans="1:6" x14ac:dyDescent="0.2">
      <c r="B35" s="3"/>
      <c r="C35" s="3"/>
      <c r="D35" s="3"/>
      <c r="E35" s="3"/>
    </row>
    <row r="36" spans="1:6" x14ac:dyDescent="0.2">
      <c r="B36" s="3"/>
      <c r="C36" s="3"/>
      <c r="D36" s="3"/>
      <c r="E36" s="3"/>
    </row>
    <row r="37" spans="1:6" x14ac:dyDescent="0.2">
      <c r="B37" s="3"/>
      <c r="C37" s="3"/>
      <c r="D37" s="3"/>
      <c r="E37" s="3"/>
    </row>
    <row r="38" spans="1:6" x14ac:dyDescent="0.2">
      <c r="B38" s="3"/>
      <c r="C38" s="3"/>
      <c r="D38" s="3"/>
      <c r="E38" s="3"/>
    </row>
    <row r="39" spans="1:6" x14ac:dyDescent="0.2">
      <c r="B39" s="3"/>
      <c r="C39" s="3"/>
      <c r="D39" s="3"/>
      <c r="E39" s="3"/>
    </row>
    <row r="40" spans="1:6" x14ac:dyDescent="0.2">
      <c r="B40" s="3"/>
      <c r="C40" s="3"/>
      <c r="D40" s="3"/>
      <c r="E40" s="3"/>
    </row>
  </sheetData>
  <pageMargins left="0.7" right="0.7" top="0.75" bottom="0.75" header="0.3" footer="0.3"/>
  <pageSetup orientation="portrait" r:id="rId1"/>
  <headerFooter>
    <oddFooter>&amp;C_x000D_&amp;1#&amp;"Calibri"&amp;10&amp;K000000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07D2-C914-E24A-A8EC-CA9288855A75}">
  <dimension ref="A2:G40"/>
  <sheetViews>
    <sheetView workbookViewId="0">
      <selection activeCell="B2" sqref="B2"/>
    </sheetView>
  </sheetViews>
  <sheetFormatPr defaultColWidth="9.14453125" defaultRowHeight="15" x14ac:dyDescent="0.2"/>
  <cols>
    <col min="1" max="1" width="9.14453125" style="1"/>
    <col min="2" max="2" width="26.23046875" style="2" customWidth="1"/>
    <col min="3" max="3" width="15.73828125" style="2" customWidth="1"/>
    <col min="4" max="4" width="20.04296875" style="2" customWidth="1"/>
    <col min="5" max="5" width="9.14453125" style="2"/>
    <col min="6" max="6" width="14.2578125" style="2" bestFit="1" customWidth="1"/>
    <col min="7" max="7" width="13.44921875" style="2" bestFit="1" customWidth="1"/>
    <col min="8" max="8" width="11.97265625" style="2" bestFit="1" customWidth="1"/>
    <col min="9" max="16384" width="9.14453125" style="2"/>
  </cols>
  <sheetData>
    <row r="2" spans="2:4" x14ac:dyDescent="0.2">
      <c r="B2" s="22" t="s">
        <v>18</v>
      </c>
    </row>
    <row r="3" spans="2:4" x14ac:dyDescent="0.2">
      <c r="B3" s="2" t="s">
        <v>8</v>
      </c>
      <c r="C3" s="15">
        <v>158925</v>
      </c>
    </row>
    <row r="5" spans="2:4" x14ac:dyDescent="0.2">
      <c r="B5" s="8" t="s">
        <v>9</v>
      </c>
      <c r="C5" s="7" t="s">
        <v>4</v>
      </c>
      <c r="D5" s="7" t="s">
        <v>5</v>
      </c>
    </row>
    <row r="6" spans="2:4" x14ac:dyDescent="0.2">
      <c r="B6" s="5" t="s">
        <v>3</v>
      </c>
      <c r="C6" s="16">
        <v>26000</v>
      </c>
      <c r="D6" s="16">
        <v>26000</v>
      </c>
    </row>
    <row r="7" spans="2:4" x14ac:dyDescent="0.2">
      <c r="B7" s="5" t="s">
        <v>10</v>
      </c>
      <c r="C7" s="9">
        <v>1488</v>
      </c>
      <c r="D7" s="4"/>
    </row>
    <row r="8" spans="2:4" x14ac:dyDescent="0.2">
      <c r="B8" s="5" t="s">
        <v>11</v>
      </c>
      <c r="C8" s="9">
        <v>2678</v>
      </c>
      <c r="D8" s="4"/>
    </row>
    <row r="9" spans="2:4" x14ac:dyDescent="0.2">
      <c r="B9" s="5" t="s">
        <v>0</v>
      </c>
      <c r="C9" s="17">
        <f>C6*7.5%</f>
        <v>1950</v>
      </c>
      <c r="D9" s="17">
        <f>D6*5%</f>
        <v>1300</v>
      </c>
    </row>
    <row r="10" spans="2:4" x14ac:dyDescent="0.2">
      <c r="B10" s="5" t="s">
        <v>1</v>
      </c>
      <c r="C10" s="10">
        <f>30%*C9</f>
        <v>585</v>
      </c>
      <c r="D10" s="10">
        <f>30%*D9</f>
        <v>390</v>
      </c>
    </row>
    <row r="11" spans="2:4" x14ac:dyDescent="0.2">
      <c r="B11" s="5" t="s">
        <v>17</v>
      </c>
      <c r="C11" s="10"/>
      <c r="D11" s="10"/>
    </row>
    <row r="12" spans="2:4" x14ac:dyDescent="0.2">
      <c r="B12" s="5" t="s">
        <v>12</v>
      </c>
      <c r="C12" s="10"/>
      <c r="D12" s="10"/>
    </row>
    <row r="13" spans="2:4" x14ac:dyDescent="0.2">
      <c r="B13" s="5" t="s">
        <v>13</v>
      </c>
      <c r="C13" s="10">
        <f>100%*C9</f>
        <v>1950</v>
      </c>
      <c r="D13" s="10">
        <f>50%*D9</f>
        <v>650</v>
      </c>
    </row>
    <row r="14" spans="2:4" x14ac:dyDescent="0.2">
      <c r="B14" s="11" t="s">
        <v>2</v>
      </c>
      <c r="C14" s="12">
        <f>C6-SUM(C7:C13)</f>
        <v>17349</v>
      </c>
      <c r="D14" s="12">
        <f>D6-SUM(D7:D13)</f>
        <v>23660</v>
      </c>
    </row>
    <row r="16" spans="2:4" x14ac:dyDescent="0.2">
      <c r="D16" s="13" t="s">
        <v>7</v>
      </c>
    </row>
    <row r="17" spans="1:7" x14ac:dyDescent="0.2">
      <c r="D17" s="14">
        <f>(D33-B33)/B33/15</f>
        <v>2.2360213653309133E-2</v>
      </c>
      <c r="F17" s="19"/>
    </row>
    <row r="18" spans="1:7" x14ac:dyDescent="0.2">
      <c r="A18" s="7" t="s">
        <v>6</v>
      </c>
      <c r="B18" s="8" t="s">
        <v>3</v>
      </c>
      <c r="C18" s="8" t="s">
        <v>14</v>
      </c>
      <c r="D18" s="8" t="s">
        <v>15</v>
      </c>
      <c r="F18" s="20"/>
    </row>
    <row r="19" spans="1:7" x14ac:dyDescent="0.2">
      <c r="A19" s="4">
        <v>1</v>
      </c>
      <c r="B19" s="6">
        <f>C14</f>
        <v>17349</v>
      </c>
      <c r="C19" s="6"/>
      <c r="D19" s="6"/>
      <c r="E19" s="3"/>
      <c r="F19" s="21"/>
      <c r="G19" s="18"/>
    </row>
    <row r="20" spans="1:7" x14ac:dyDescent="0.2">
      <c r="A20" s="4">
        <v>2</v>
      </c>
      <c r="B20" s="6">
        <f>D14</f>
        <v>23660</v>
      </c>
      <c r="C20" s="6"/>
      <c r="D20" s="6"/>
      <c r="E20" s="3"/>
      <c r="F20" s="21"/>
      <c r="G20" s="18"/>
    </row>
    <row r="21" spans="1:7" x14ac:dyDescent="0.2">
      <c r="A21" s="4">
        <v>3</v>
      </c>
      <c r="B21" s="6">
        <f>C6</f>
        <v>26000</v>
      </c>
      <c r="C21" s="6"/>
      <c r="D21" s="6"/>
      <c r="E21" s="3"/>
      <c r="F21" s="21"/>
      <c r="G21" s="18"/>
    </row>
    <row r="22" spans="1:7" x14ac:dyDescent="0.2">
      <c r="A22" s="4">
        <v>4</v>
      </c>
      <c r="B22" s="6">
        <f>B21</f>
        <v>26000</v>
      </c>
      <c r="C22" s="6"/>
      <c r="D22" s="6"/>
      <c r="E22" s="3"/>
      <c r="F22" s="21"/>
      <c r="G22" s="18"/>
    </row>
    <row r="23" spans="1:7" x14ac:dyDescent="0.2">
      <c r="A23" s="4">
        <v>5</v>
      </c>
      <c r="B23" s="6">
        <f>B22</f>
        <v>26000</v>
      </c>
      <c r="C23" s="6"/>
      <c r="D23" s="6"/>
      <c r="E23" s="3"/>
      <c r="F23" s="21"/>
      <c r="G23" s="18"/>
    </row>
    <row r="24" spans="1:7" x14ac:dyDescent="0.2">
      <c r="A24" s="4">
        <v>6</v>
      </c>
      <c r="C24" s="6"/>
      <c r="D24" s="6"/>
      <c r="E24" s="3"/>
      <c r="F24" s="20"/>
    </row>
    <row r="25" spans="1:7" x14ac:dyDescent="0.2">
      <c r="A25" s="4">
        <v>7</v>
      </c>
      <c r="B25" s="6"/>
      <c r="C25" s="6"/>
      <c r="D25" s="6"/>
      <c r="E25" s="3"/>
      <c r="F25" s="20"/>
    </row>
    <row r="26" spans="1:7" x14ac:dyDescent="0.2">
      <c r="A26" s="4">
        <v>8</v>
      </c>
      <c r="B26" s="6"/>
      <c r="C26" s="6"/>
      <c r="D26" s="6"/>
      <c r="E26" s="3"/>
      <c r="F26" s="20"/>
    </row>
    <row r="27" spans="1:7" x14ac:dyDescent="0.2">
      <c r="A27" s="4">
        <v>9</v>
      </c>
      <c r="B27" s="6"/>
      <c r="C27" s="6"/>
      <c r="D27" s="6"/>
      <c r="E27" s="3"/>
      <c r="F27" s="20"/>
    </row>
    <row r="28" spans="1:7" x14ac:dyDescent="0.2">
      <c r="A28" s="4">
        <v>10</v>
      </c>
      <c r="B28" s="6"/>
      <c r="C28" s="6"/>
      <c r="D28" s="6"/>
      <c r="E28" s="3"/>
      <c r="F28" s="20"/>
    </row>
    <row r="29" spans="1:7" x14ac:dyDescent="0.2">
      <c r="A29" s="4">
        <v>11</v>
      </c>
      <c r="B29" s="6"/>
      <c r="C29" s="6"/>
      <c r="D29" s="6"/>
      <c r="E29" s="3"/>
      <c r="F29" s="20"/>
    </row>
    <row r="30" spans="1:7" x14ac:dyDescent="0.2">
      <c r="A30" s="4">
        <v>12</v>
      </c>
      <c r="B30" s="6"/>
      <c r="C30" s="6"/>
      <c r="D30" s="6"/>
      <c r="E30" s="3"/>
      <c r="F30" s="20"/>
    </row>
    <row r="31" spans="1:7" x14ac:dyDescent="0.2">
      <c r="A31" s="4">
        <v>13</v>
      </c>
      <c r="B31" s="6"/>
      <c r="C31" s="6"/>
      <c r="D31" s="6"/>
      <c r="E31" s="3"/>
      <c r="F31" s="20"/>
    </row>
    <row r="32" spans="1:7" x14ac:dyDescent="0.2">
      <c r="A32" s="4">
        <v>14</v>
      </c>
      <c r="B32" s="6"/>
      <c r="C32" s="6"/>
      <c r="D32" s="6"/>
      <c r="E32" s="3"/>
      <c r="F32" s="20"/>
    </row>
    <row r="33" spans="1:6" x14ac:dyDescent="0.2">
      <c r="A33" s="4">
        <v>15</v>
      </c>
      <c r="B33" s="6">
        <f>B19+B20+B21+B22+B23</f>
        <v>119009</v>
      </c>
      <c r="C33" s="6"/>
      <c r="D33" s="6">
        <f>C3</f>
        <v>158925</v>
      </c>
      <c r="E33" s="3"/>
      <c r="F33" s="21"/>
    </row>
    <row r="34" spans="1:6" x14ac:dyDescent="0.2">
      <c r="B34" s="3"/>
      <c r="C34" s="3"/>
      <c r="D34" s="3"/>
      <c r="E34" s="3"/>
    </row>
    <row r="35" spans="1:6" x14ac:dyDescent="0.2">
      <c r="B35" s="3"/>
      <c r="C35" s="3"/>
      <c r="D35" s="3"/>
      <c r="E35" s="3"/>
    </row>
    <row r="36" spans="1:6" x14ac:dyDescent="0.2">
      <c r="B36" s="3"/>
      <c r="C36" s="3"/>
      <c r="D36" s="3"/>
      <c r="E36" s="3"/>
    </row>
    <row r="37" spans="1:6" x14ac:dyDescent="0.2">
      <c r="B37" s="3"/>
      <c r="C37" s="3"/>
      <c r="D37" s="3"/>
      <c r="E37" s="3"/>
    </row>
    <row r="38" spans="1:6" x14ac:dyDescent="0.2">
      <c r="B38" s="3"/>
      <c r="C38" s="3"/>
      <c r="D38" s="3"/>
      <c r="E38" s="3"/>
    </row>
    <row r="39" spans="1:6" x14ac:dyDescent="0.2">
      <c r="B39" s="3"/>
      <c r="C39" s="3"/>
      <c r="D39" s="3"/>
      <c r="E39" s="3"/>
    </row>
    <row r="40" spans="1:6" x14ac:dyDescent="0.2">
      <c r="B40" s="3"/>
      <c r="C40" s="3"/>
      <c r="D40" s="3"/>
      <c r="E40" s="3"/>
    </row>
  </sheetData>
  <pageMargins left="0.7" right="0.7" top="0.75" bottom="0.75" header="0.3" footer="0.3"/>
  <pageSetup orientation="portrait" r:id="rId1"/>
  <headerFooter>
    <oddFooter>&amp;C_x000D_&amp;1#&amp;"Calibri"&amp;10&amp;K000000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99A5C-D427-8D4D-8693-726C41290907}">
  <sheetPr codeName="Sheet1"/>
  <dimension ref="A2:F45"/>
  <sheetViews>
    <sheetView workbookViewId="0">
      <selection activeCell="B2" sqref="B2"/>
    </sheetView>
  </sheetViews>
  <sheetFormatPr defaultColWidth="9.14453125" defaultRowHeight="15" x14ac:dyDescent="0.2"/>
  <cols>
    <col min="1" max="1" width="9.14453125" style="1"/>
    <col min="2" max="2" width="26.36328125" style="2" customWidth="1"/>
    <col min="3" max="3" width="16.54296875" style="2" customWidth="1"/>
    <col min="4" max="4" width="19.7734375" style="2" customWidth="1"/>
    <col min="5" max="5" width="9.14453125" style="2"/>
    <col min="6" max="6" width="13.44921875" style="2" bestFit="1" customWidth="1"/>
    <col min="7" max="7" width="11.97265625" style="2" bestFit="1" customWidth="1"/>
    <col min="8" max="16384" width="9.14453125" style="2"/>
  </cols>
  <sheetData>
    <row r="2" spans="2:4" x14ac:dyDescent="0.2">
      <c r="B2" s="22" t="s">
        <v>19</v>
      </c>
    </row>
    <row r="3" spans="2:4" x14ac:dyDescent="0.2">
      <c r="B3" s="2" t="s">
        <v>8</v>
      </c>
      <c r="C3" s="15">
        <v>185900</v>
      </c>
    </row>
    <row r="5" spans="2:4" x14ac:dyDescent="0.2">
      <c r="B5" s="8" t="s">
        <v>9</v>
      </c>
      <c r="C5" s="7" t="s">
        <v>4</v>
      </c>
      <c r="D5" s="7" t="s">
        <v>5</v>
      </c>
    </row>
    <row r="6" spans="2:4" x14ac:dyDescent="0.2">
      <c r="B6" s="5" t="s">
        <v>3</v>
      </c>
      <c r="C6" s="16">
        <v>26000</v>
      </c>
      <c r="D6" s="16">
        <v>26000</v>
      </c>
    </row>
    <row r="7" spans="2:4" x14ac:dyDescent="0.2">
      <c r="B7" s="5" t="s">
        <v>10</v>
      </c>
      <c r="C7" s="9">
        <v>1488</v>
      </c>
      <c r="D7" s="4"/>
    </row>
    <row r="8" spans="2:4" x14ac:dyDescent="0.2">
      <c r="B8" s="5" t="s">
        <v>16</v>
      </c>
      <c r="C8" s="9">
        <v>2678</v>
      </c>
      <c r="D8" s="4"/>
    </row>
    <row r="9" spans="2:4" x14ac:dyDescent="0.2">
      <c r="B9" s="5" t="s">
        <v>0</v>
      </c>
      <c r="C9" s="17">
        <f>C6*10%</f>
        <v>2600</v>
      </c>
      <c r="D9" s="17">
        <f>D6*5%</f>
        <v>1300</v>
      </c>
    </row>
    <row r="10" spans="2:4" x14ac:dyDescent="0.2">
      <c r="B10" s="5" t="s">
        <v>1</v>
      </c>
      <c r="C10" s="10">
        <f>30%*C9</f>
        <v>780</v>
      </c>
      <c r="D10" s="10">
        <f>30%*D9</f>
        <v>390</v>
      </c>
    </row>
    <row r="11" spans="2:4" x14ac:dyDescent="0.2">
      <c r="B11" s="5" t="s">
        <v>17</v>
      </c>
      <c r="C11" s="10"/>
      <c r="D11" s="10"/>
    </row>
    <row r="12" spans="2:4" x14ac:dyDescent="0.2">
      <c r="B12" s="5" t="s">
        <v>12</v>
      </c>
      <c r="C12" s="10"/>
      <c r="D12" s="10"/>
    </row>
    <row r="13" spans="2:4" x14ac:dyDescent="0.2">
      <c r="B13" s="5" t="s">
        <v>13</v>
      </c>
      <c r="C13" s="10"/>
      <c r="D13" s="10"/>
    </row>
    <row r="14" spans="2:4" x14ac:dyDescent="0.2">
      <c r="B14" s="11" t="s">
        <v>2</v>
      </c>
      <c r="C14" s="12">
        <f>C6-SUM(C7:C13)</f>
        <v>18454</v>
      </c>
      <c r="D14" s="12">
        <f>D6-SUM(D7:D13)</f>
        <v>24310</v>
      </c>
    </row>
    <row r="16" spans="2:4" x14ac:dyDescent="0.2">
      <c r="D16" s="13" t="s">
        <v>7</v>
      </c>
    </row>
    <row r="17" spans="1:6" x14ac:dyDescent="0.2">
      <c r="D17" s="14">
        <f>(D38-B38)/B38/20</f>
        <v>2.6968301811798219E-2</v>
      </c>
    </row>
    <row r="18" spans="1:6" x14ac:dyDescent="0.2">
      <c r="A18" s="7" t="s">
        <v>6</v>
      </c>
      <c r="B18" s="8" t="s">
        <v>3</v>
      </c>
      <c r="C18" s="8" t="s">
        <v>14</v>
      </c>
      <c r="D18" s="8" t="s">
        <v>15</v>
      </c>
    </row>
    <row r="19" spans="1:6" x14ac:dyDescent="0.2">
      <c r="A19" s="4">
        <v>1</v>
      </c>
      <c r="B19" s="6">
        <f>C14</f>
        <v>18454</v>
      </c>
      <c r="C19" s="6"/>
      <c r="D19" s="6"/>
      <c r="E19" s="3"/>
      <c r="F19" s="18"/>
    </row>
    <row r="20" spans="1:6" x14ac:dyDescent="0.2">
      <c r="A20" s="4">
        <v>2</v>
      </c>
      <c r="B20" s="6">
        <f>D14</f>
        <v>24310</v>
      </c>
      <c r="C20" s="6"/>
      <c r="D20" s="6"/>
      <c r="E20" s="3"/>
      <c r="F20" s="18"/>
    </row>
    <row r="21" spans="1:6" x14ac:dyDescent="0.2">
      <c r="A21" s="4">
        <v>3</v>
      </c>
      <c r="B21" s="6">
        <f>C6</f>
        <v>26000</v>
      </c>
      <c r="C21" s="6"/>
      <c r="D21" s="6"/>
      <c r="E21" s="3"/>
      <c r="F21" s="18"/>
    </row>
    <row r="22" spans="1:6" x14ac:dyDescent="0.2">
      <c r="A22" s="4">
        <v>4</v>
      </c>
      <c r="B22" s="6">
        <f>B21</f>
        <v>26000</v>
      </c>
      <c r="C22" s="6"/>
      <c r="D22" s="6"/>
      <c r="E22" s="3"/>
      <c r="F22" s="18"/>
    </row>
    <row r="23" spans="1:6" x14ac:dyDescent="0.2">
      <c r="A23" s="4">
        <v>5</v>
      </c>
      <c r="B23" s="6">
        <f>B22</f>
        <v>26000</v>
      </c>
      <c r="C23" s="6"/>
      <c r="D23" s="6"/>
      <c r="E23" s="3"/>
      <c r="F23" s="18"/>
    </row>
    <row r="24" spans="1:6" x14ac:dyDescent="0.2">
      <c r="A24" s="4">
        <v>6</v>
      </c>
      <c r="B24" s="6"/>
      <c r="C24" s="6"/>
      <c r="D24" s="6"/>
      <c r="E24" s="3"/>
    </row>
    <row r="25" spans="1:6" x14ac:dyDescent="0.2">
      <c r="A25" s="4">
        <v>7</v>
      </c>
      <c r="B25" s="6"/>
      <c r="C25" s="6"/>
      <c r="D25" s="6"/>
      <c r="E25" s="3"/>
    </row>
    <row r="26" spans="1:6" x14ac:dyDescent="0.2">
      <c r="A26" s="4">
        <v>8</v>
      </c>
      <c r="B26" s="6"/>
      <c r="C26" s="6"/>
      <c r="D26" s="6"/>
      <c r="E26" s="3"/>
    </row>
    <row r="27" spans="1:6" x14ac:dyDescent="0.2">
      <c r="A27" s="4">
        <v>9</v>
      </c>
      <c r="B27" s="6"/>
      <c r="C27" s="6"/>
      <c r="D27" s="6"/>
      <c r="E27" s="3"/>
    </row>
    <row r="28" spans="1:6" x14ac:dyDescent="0.2">
      <c r="A28" s="4">
        <v>10</v>
      </c>
      <c r="B28" s="6"/>
      <c r="C28" s="6"/>
      <c r="D28" s="6"/>
      <c r="E28" s="3"/>
    </row>
    <row r="29" spans="1:6" x14ac:dyDescent="0.2">
      <c r="A29" s="4">
        <v>11</v>
      </c>
      <c r="B29" s="6"/>
      <c r="C29" s="6"/>
      <c r="D29" s="6"/>
      <c r="E29" s="3"/>
    </row>
    <row r="30" spans="1:6" x14ac:dyDescent="0.2">
      <c r="A30" s="4">
        <v>12</v>
      </c>
      <c r="B30" s="6"/>
      <c r="C30" s="6"/>
      <c r="D30" s="6"/>
      <c r="E30" s="3"/>
    </row>
    <row r="31" spans="1:6" x14ac:dyDescent="0.2">
      <c r="A31" s="4">
        <v>13</v>
      </c>
      <c r="B31" s="6"/>
      <c r="C31" s="6"/>
      <c r="D31" s="6"/>
      <c r="E31" s="3"/>
    </row>
    <row r="32" spans="1:6" x14ac:dyDescent="0.2">
      <c r="A32" s="4">
        <v>14</v>
      </c>
      <c r="B32" s="6"/>
      <c r="C32" s="6"/>
      <c r="D32" s="6"/>
      <c r="E32" s="3"/>
    </row>
    <row r="33" spans="1:5" x14ac:dyDescent="0.2">
      <c r="A33" s="4">
        <v>15</v>
      </c>
      <c r="B33" s="6"/>
      <c r="C33" s="6"/>
      <c r="D33" s="6"/>
      <c r="E33" s="3"/>
    </row>
    <row r="34" spans="1:5" x14ac:dyDescent="0.2">
      <c r="A34" s="4">
        <v>16</v>
      </c>
      <c r="B34" s="6"/>
      <c r="C34" s="6"/>
      <c r="D34" s="6"/>
      <c r="E34" s="3"/>
    </row>
    <row r="35" spans="1:5" x14ac:dyDescent="0.2">
      <c r="A35" s="4">
        <v>17</v>
      </c>
      <c r="B35" s="6"/>
      <c r="C35" s="6"/>
      <c r="D35" s="6"/>
      <c r="E35" s="3"/>
    </row>
    <row r="36" spans="1:5" x14ac:dyDescent="0.2">
      <c r="A36" s="4">
        <v>18</v>
      </c>
      <c r="B36" s="6"/>
      <c r="C36" s="6"/>
      <c r="D36" s="6"/>
      <c r="E36" s="3"/>
    </row>
    <row r="37" spans="1:5" x14ac:dyDescent="0.2">
      <c r="A37" s="4">
        <v>19</v>
      </c>
      <c r="B37" s="6"/>
      <c r="C37" s="6"/>
      <c r="D37" s="6"/>
      <c r="E37" s="3"/>
    </row>
    <row r="38" spans="1:5" x14ac:dyDescent="0.2">
      <c r="A38" s="4">
        <v>20</v>
      </c>
      <c r="B38" s="6">
        <f>B19+B20+B21+B22+B23</f>
        <v>120764</v>
      </c>
      <c r="C38" s="6"/>
      <c r="D38" s="6">
        <f>C3</f>
        <v>185900</v>
      </c>
      <c r="E38" s="3"/>
    </row>
    <row r="39" spans="1:5" x14ac:dyDescent="0.2">
      <c r="B39" s="3"/>
      <c r="C39" s="3"/>
      <c r="D39" s="3"/>
      <c r="E39" s="3"/>
    </row>
    <row r="40" spans="1:5" x14ac:dyDescent="0.2">
      <c r="B40" s="3"/>
      <c r="C40" s="3"/>
      <c r="D40" s="3"/>
      <c r="E40" s="3"/>
    </row>
    <row r="41" spans="1:5" x14ac:dyDescent="0.2">
      <c r="B41" s="3"/>
      <c r="C41" s="3"/>
      <c r="D41" s="3"/>
      <c r="E41" s="3"/>
    </row>
    <row r="42" spans="1:5" x14ac:dyDescent="0.2">
      <c r="B42" s="3"/>
      <c r="C42" s="3"/>
      <c r="D42" s="3"/>
      <c r="E42" s="3"/>
    </row>
    <row r="43" spans="1:5" x14ac:dyDescent="0.2">
      <c r="B43" s="3"/>
      <c r="C43" s="3"/>
      <c r="D43" s="3"/>
      <c r="E43" s="3"/>
    </row>
    <row r="44" spans="1:5" x14ac:dyDescent="0.2">
      <c r="B44" s="3"/>
      <c r="C44" s="3"/>
      <c r="D44" s="3"/>
      <c r="E44" s="3"/>
    </row>
    <row r="45" spans="1:5" x14ac:dyDescent="0.2">
      <c r="B45" s="3"/>
      <c r="C45" s="3"/>
      <c r="D45" s="3"/>
      <c r="E45" s="3"/>
    </row>
  </sheetData>
  <pageMargins left="0.7" right="0.7" top="0.75" bottom="0.75" header="0.3" footer="0.3"/>
  <pageSetup orientation="portrait" r:id="rId1"/>
  <headerFooter>
    <oddFooter>&amp;C_x000D_&amp;1#&amp;"Calibri"&amp;10&amp;K000000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3F664-71DB-6749-AED5-E13F698021F7}">
  <sheetPr codeName="Sheet1"/>
  <dimension ref="A2:F45"/>
  <sheetViews>
    <sheetView workbookViewId="0">
      <selection activeCell="B2" sqref="B2"/>
    </sheetView>
  </sheetViews>
  <sheetFormatPr defaultColWidth="9.14453125" defaultRowHeight="15" x14ac:dyDescent="0.2"/>
  <cols>
    <col min="1" max="1" width="9.14453125" style="1"/>
    <col min="2" max="2" width="26.23046875" style="2" customWidth="1"/>
    <col min="3" max="3" width="16.54296875" style="2" customWidth="1"/>
    <col min="4" max="4" width="19.7734375" style="2" customWidth="1"/>
    <col min="5" max="5" width="9.14453125" style="2"/>
    <col min="6" max="6" width="13.44921875" style="2" bestFit="1" customWidth="1"/>
    <col min="7" max="7" width="11.97265625" style="2" bestFit="1" customWidth="1"/>
    <col min="8" max="16384" width="9.14453125" style="2"/>
  </cols>
  <sheetData>
    <row r="2" spans="2:4" x14ac:dyDescent="0.2">
      <c r="B2" s="22" t="s">
        <v>19</v>
      </c>
    </row>
    <row r="3" spans="2:4" x14ac:dyDescent="0.2">
      <c r="B3" s="2" t="s">
        <v>8</v>
      </c>
      <c r="C3" s="15">
        <v>185900</v>
      </c>
    </row>
    <row r="5" spans="2:4" x14ac:dyDescent="0.2">
      <c r="B5" s="8" t="s">
        <v>9</v>
      </c>
      <c r="C5" s="7" t="s">
        <v>4</v>
      </c>
      <c r="D5" s="7" t="s">
        <v>5</v>
      </c>
    </row>
    <row r="6" spans="2:4" x14ac:dyDescent="0.2">
      <c r="B6" s="5" t="s">
        <v>3</v>
      </c>
      <c r="C6" s="16">
        <v>26000</v>
      </c>
      <c r="D6" s="16">
        <v>26000</v>
      </c>
    </row>
    <row r="7" spans="2:4" x14ac:dyDescent="0.2">
      <c r="B7" s="5" t="s">
        <v>10</v>
      </c>
      <c r="C7" s="9">
        <v>1488</v>
      </c>
      <c r="D7" s="4"/>
    </row>
    <row r="8" spans="2:4" x14ac:dyDescent="0.2">
      <c r="B8" s="5" t="s">
        <v>16</v>
      </c>
      <c r="C8" s="9">
        <v>2678</v>
      </c>
      <c r="D8" s="4"/>
    </row>
    <row r="9" spans="2:4" x14ac:dyDescent="0.2">
      <c r="B9" s="5" t="s">
        <v>0</v>
      </c>
      <c r="C9" s="17">
        <f>C6*10%</f>
        <v>2600</v>
      </c>
      <c r="D9" s="17">
        <f>D6*5%</f>
        <v>1300</v>
      </c>
    </row>
    <row r="10" spans="2:4" x14ac:dyDescent="0.2">
      <c r="B10" s="5" t="s">
        <v>1</v>
      </c>
      <c r="C10" s="10">
        <f>30%*C9</f>
        <v>780</v>
      </c>
      <c r="D10" s="10">
        <f>30%*D9</f>
        <v>390</v>
      </c>
    </row>
    <row r="11" spans="2:4" x14ac:dyDescent="0.2">
      <c r="B11" s="5" t="s">
        <v>17</v>
      </c>
      <c r="C11" s="10"/>
      <c r="D11" s="10"/>
    </row>
    <row r="12" spans="2:4" x14ac:dyDescent="0.2">
      <c r="B12" s="5" t="s">
        <v>12</v>
      </c>
      <c r="C12" s="10">
        <f>50%*C9</f>
        <v>1300</v>
      </c>
      <c r="D12" s="10">
        <f>25%*D9</f>
        <v>325</v>
      </c>
    </row>
    <row r="13" spans="2:4" x14ac:dyDescent="0.2">
      <c r="B13" s="5" t="s">
        <v>13</v>
      </c>
      <c r="C13" s="10"/>
      <c r="D13" s="10"/>
    </row>
    <row r="14" spans="2:4" x14ac:dyDescent="0.2">
      <c r="B14" s="11" t="s">
        <v>2</v>
      </c>
      <c r="C14" s="12">
        <f>C6-SUM(C7:C13)</f>
        <v>17154</v>
      </c>
      <c r="D14" s="12">
        <f>D6-SUM(D7:D13)</f>
        <v>23985</v>
      </c>
    </row>
    <row r="16" spans="2:4" x14ac:dyDescent="0.2">
      <c r="D16" s="13" t="s">
        <v>7</v>
      </c>
    </row>
    <row r="17" spans="1:6" x14ac:dyDescent="0.2">
      <c r="D17" s="14">
        <f>(D38-B38)/B38/20</f>
        <v>2.8018113296233809E-2</v>
      </c>
    </row>
    <row r="18" spans="1:6" x14ac:dyDescent="0.2">
      <c r="A18" s="7" t="s">
        <v>6</v>
      </c>
      <c r="B18" s="8" t="s">
        <v>3</v>
      </c>
      <c r="C18" s="8" t="s">
        <v>14</v>
      </c>
      <c r="D18" s="8" t="s">
        <v>15</v>
      </c>
    </row>
    <row r="19" spans="1:6" x14ac:dyDescent="0.2">
      <c r="A19" s="4">
        <v>1</v>
      </c>
      <c r="B19" s="6">
        <f>C14</f>
        <v>17154</v>
      </c>
      <c r="C19" s="6"/>
      <c r="D19" s="6"/>
      <c r="E19" s="3"/>
      <c r="F19" s="18"/>
    </row>
    <row r="20" spans="1:6" x14ac:dyDescent="0.2">
      <c r="A20" s="4">
        <v>2</v>
      </c>
      <c r="B20" s="6">
        <f>D14</f>
        <v>23985</v>
      </c>
      <c r="C20" s="6"/>
      <c r="D20" s="6"/>
      <c r="E20" s="3"/>
      <c r="F20" s="18"/>
    </row>
    <row r="21" spans="1:6" x14ac:dyDescent="0.2">
      <c r="A21" s="4">
        <v>3</v>
      </c>
      <c r="B21" s="6">
        <f>C6</f>
        <v>26000</v>
      </c>
      <c r="C21" s="6"/>
      <c r="D21" s="6"/>
      <c r="E21" s="3"/>
      <c r="F21" s="18"/>
    </row>
    <row r="22" spans="1:6" x14ac:dyDescent="0.2">
      <c r="A22" s="4">
        <v>4</v>
      </c>
      <c r="B22" s="6">
        <f>B21</f>
        <v>26000</v>
      </c>
      <c r="C22" s="6"/>
      <c r="D22" s="6"/>
      <c r="E22" s="3"/>
      <c r="F22" s="18"/>
    </row>
    <row r="23" spans="1:6" x14ac:dyDescent="0.2">
      <c r="A23" s="4">
        <v>5</v>
      </c>
      <c r="B23" s="6">
        <f>B22</f>
        <v>26000</v>
      </c>
      <c r="C23" s="6"/>
      <c r="D23" s="6"/>
      <c r="E23" s="3"/>
      <c r="F23" s="18"/>
    </row>
    <row r="24" spans="1:6" x14ac:dyDescent="0.2">
      <c r="A24" s="4">
        <v>6</v>
      </c>
      <c r="B24" s="6"/>
      <c r="C24" s="6"/>
      <c r="D24" s="6"/>
      <c r="E24" s="3"/>
    </row>
    <row r="25" spans="1:6" x14ac:dyDescent="0.2">
      <c r="A25" s="4">
        <v>7</v>
      </c>
      <c r="B25" s="6"/>
      <c r="C25" s="6"/>
      <c r="D25" s="6"/>
      <c r="E25" s="3"/>
    </row>
    <row r="26" spans="1:6" x14ac:dyDescent="0.2">
      <c r="A26" s="4">
        <v>8</v>
      </c>
      <c r="B26" s="6"/>
      <c r="C26" s="6"/>
      <c r="D26" s="6"/>
      <c r="E26" s="3"/>
    </row>
    <row r="27" spans="1:6" x14ac:dyDescent="0.2">
      <c r="A27" s="4">
        <v>9</v>
      </c>
      <c r="B27" s="6"/>
      <c r="C27" s="6"/>
      <c r="D27" s="6"/>
      <c r="E27" s="3"/>
    </row>
    <row r="28" spans="1:6" x14ac:dyDescent="0.2">
      <c r="A28" s="4">
        <v>10</v>
      </c>
      <c r="B28" s="6"/>
      <c r="C28" s="6"/>
      <c r="D28" s="6"/>
      <c r="E28" s="3"/>
    </row>
    <row r="29" spans="1:6" x14ac:dyDescent="0.2">
      <c r="A29" s="4">
        <v>11</v>
      </c>
      <c r="B29" s="6"/>
      <c r="C29" s="6"/>
      <c r="D29" s="6"/>
      <c r="E29" s="3"/>
    </row>
    <row r="30" spans="1:6" x14ac:dyDescent="0.2">
      <c r="A30" s="4">
        <v>12</v>
      </c>
      <c r="B30" s="6"/>
      <c r="C30" s="6"/>
      <c r="D30" s="6"/>
      <c r="E30" s="3"/>
    </row>
    <row r="31" spans="1:6" x14ac:dyDescent="0.2">
      <c r="A31" s="4">
        <v>13</v>
      </c>
      <c r="B31" s="6"/>
      <c r="C31" s="6"/>
      <c r="D31" s="6"/>
      <c r="E31" s="3"/>
    </row>
    <row r="32" spans="1:6" x14ac:dyDescent="0.2">
      <c r="A32" s="4">
        <v>14</v>
      </c>
      <c r="B32" s="6"/>
      <c r="C32" s="6"/>
      <c r="D32" s="6"/>
      <c r="E32" s="3"/>
    </row>
    <row r="33" spans="1:5" x14ac:dyDescent="0.2">
      <c r="A33" s="4">
        <v>15</v>
      </c>
      <c r="B33" s="6"/>
      <c r="C33" s="6"/>
      <c r="D33" s="6"/>
      <c r="E33" s="3"/>
    </row>
    <row r="34" spans="1:5" x14ac:dyDescent="0.2">
      <c r="A34" s="4">
        <v>16</v>
      </c>
      <c r="B34" s="6"/>
      <c r="C34" s="6"/>
      <c r="D34" s="6"/>
      <c r="E34" s="3"/>
    </row>
    <row r="35" spans="1:5" x14ac:dyDescent="0.2">
      <c r="A35" s="4">
        <v>17</v>
      </c>
      <c r="B35" s="6"/>
      <c r="C35" s="6"/>
      <c r="D35" s="6"/>
      <c r="E35" s="3"/>
    </row>
    <row r="36" spans="1:5" x14ac:dyDescent="0.2">
      <c r="A36" s="4">
        <v>18</v>
      </c>
      <c r="B36" s="6"/>
      <c r="C36" s="6"/>
      <c r="D36" s="6"/>
      <c r="E36" s="3"/>
    </row>
    <row r="37" spans="1:5" x14ac:dyDescent="0.2">
      <c r="A37" s="4">
        <v>19</v>
      </c>
      <c r="B37" s="6"/>
      <c r="C37" s="6"/>
      <c r="D37" s="6"/>
      <c r="E37" s="3"/>
    </row>
    <row r="38" spans="1:5" x14ac:dyDescent="0.2">
      <c r="A38" s="4">
        <v>20</v>
      </c>
      <c r="B38" s="6">
        <f>B19+B20+B21+B22+B23</f>
        <v>119139</v>
      </c>
      <c r="C38" s="6"/>
      <c r="D38" s="6">
        <f>C3</f>
        <v>185900</v>
      </c>
      <c r="E38" s="3"/>
    </row>
    <row r="39" spans="1:5" x14ac:dyDescent="0.2">
      <c r="B39" s="3"/>
      <c r="C39" s="3"/>
      <c r="D39" s="3"/>
      <c r="E39" s="3"/>
    </row>
    <row r="40" spans="1:5" x14ac:dyDescent="0.2">
      <c r="B40" s="3"/>
      <c r="C40" s="3"/>
      <c r="D40" s="3"/>
      <c r="E40" s="3"/>
    </row>
    <row r="41" spans="1:5" x14ac:dyDescent="0.2">
      <c r="B41" s="3"/>
      <c r="C41" s="3"/>
      <c r="D41" s="3"/>
      <c r="E41" s="3"/>
    </row>
    <row r="42" spans="1:5" x14ac:dyDescent="0.2">
      <c r="B42" s="3"/>
      <c r="C42" s="3"/>
      <c r="D42" s="3"/>
      <c r="E42" s="3"/>
    </row>
    <row r="43" spans="1:5" x14ac:dyDescent="0.2">
      <c r="B43" s="3"/>
      <c r="C43" s="3"/>
      <c r="D43" s="3"/>
      <c r="E43" s="3"/>
    </row>
    <row r="44" spans="1:5" x14ac:dyDescent="0.2">
      <c r="B44" s="3"/>
      <c r="C44" s="3"/>
      <c r="D44" s="3"/>
      <c r="E44" s="3"/>
    </row>
    <row r="45" spans="1:5" x14ac:dyDescent="0.2">
      <c r="B45" s="3"/>
      <c r="C45" s="3"/>
      <c r="D45" s="3"/>
      <c r="E45" s="3"/>
    </row>
  </sheetData>
  <pageMargins left="0.7" right="0.7" top="0.75" bottom="0.75" header="0.3" footer="0.3"/>
  <pageSetup orientation="portrait" r:id="rId1"/>
  <headerFooter>
    <oddFooter>&amp;C_x000D_&amp;1#&amp;"Calibri"&amp;10&amp;K000000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45"/>
  <sheetViews>
    <sheetView tabSelected="1" workbookViewId="0">
      <selection activeCell="B2" sqref="B2"/>
    </sheetView>
  </sheetViews>
  <sheetFormatPr defaultColWidth="9.14453125" defaultRowHeight="15" x14ac:dyDescent="0.2"/>
  <cols>
    <col min="1" max="1" width="9.14453125" style="1"/>
    <col min="2" max="2" width="25.9609375" style="2" customWidth="1"/>
    <col min="3" max="3" width="16.54296875" style="2" customWidth="1"/>
    <col min="4" max="4" width="19.7734375" style="2" customWidth="1"/>
    <col min="5" max="5" width="9.14453125" style="2"/>
    <col min="6" max="6" width="13.44921875" style="2" bestFit="1" customWidth="1"/>
    <col min="7" max="7" width="11.97265625" style="2" bestFit="1" customWidth="1"/>
    <col min="8" max="16384" width="9.14453125" style="2"/>
  </cols>
  <sheetData>
    <row r="2" spans="2:4" x14ac:dyDescent="0.2">
      <c r="B2" s="22" t="s">
        <v>19</v>
      </c>
    </row>
    <row r="3" spans="2:4" x14ac:dyDescent="0.2">
      <c r="B3" s="2" t="s">
        <v>8</v>
      </c>
      <c r="C3" s="15">
        <v>185900</v>
      </c>
    </row>
    <row r="5" spans="2:4" x14ac:dyDescent="0.2">
      <c r="B5" s="8" t="s">
        <v>9</v>
      </c>
      <c r="C5" s="7" t="s">
        <v>4</v>
      </c>
      <c r="D5" s="7" t="s">
        <v>5</v>
      </c>
    </row>
    <row r="6" spans="2:4" x14ac:dyDescent="0.2">
      <c r="B6" s="5" t="s">
        <v>3</v>
      </c>
      <c r="C6" s="16">
        <v>26000</v>
      </c>
      <c r="D6" s="16">
        <v>26000</v>
      </c>
    </row>
    <row r="7" spans="2:4" x14ac:dyDescent="0.2">
      <c r="B7" s="5" t="s">
        <v>10</v>
      </c>
      <c r="C7" s="9">
        <v>1488</v>
      </c>
      <c r="D7" s="4"/>
    </row>
    <row r="8" spans="2:4" x14ac:dyDescent="0.2">
      <c r="B8" s="5" t="s">
        <v>16</v>
      </c>
      <c r="C8" s="9">
        <v>2678</v>
      </c>
      <c r="D8" s="4"/>
    </row>
    <row r="9" spans="2:4" x14ac:dyDescent="0.2">
      <c r="B9" s="5" t="s">
        <v>0</v>
      </c>
      <c r="C9" s="17">
        <f>C6*10%</f>
        <v>2600</v>
      </c>
      <c r="D9" s="17">
        <f>D6*5%</f>
        <v>1300</v>
      </c>
    </row>
    <row r="10" spans="2:4" x14ac:dyDescent="0.2">
      <c r="B10" s="5" t="s">
        <v>1</v>
      </c>
      <c r="C10" s="10">
        <f>30%*C9</f>
        <v>780</v>
      </c>
      <c r="D10" s="10">
        <f>30%*D9</f>
        <v>390</v>
      </c>
    </row>
    <row r="11" spans="2:4" x14ac:dyDescent="0.2">
      <c r="B11" s="5" t="s">
        <v>17</v>
      </c>
      <c r="C11" s="10"/>
      <c r="D11" s="10"/>
    </row>
    <row r="12" spans="2:4" x14ac:dyDescent="0.2">
      <c r="B12" s="5" t="s">
        <v>12</v>
      </c>
      <c r="C12" s="10"/>
      <c r="D12" s="10"/>
    </row>
    <row r="13" spans="2:4" x14ac:dyDescent="0.2">
      <c r="B13" s="5" t="s">
        <v>13</v>
      </c>
      <c r="C13" s="10">
        <f>100%*C9</f>
        <v>2600</v>
      </c>
      <c r="D13" s="10">
        <f>50%*D9</f>
        <v>650</v>
      </c>
    </row>
    <row r="14" spans="2:4" x14ac:dyDescent="0.2">
      <c r="B14" s="11" t="s">
        <v>2</v>
      </c>
      <c r="C14" s="12">
        <f>C6-SUM(C7:C13)</f>
        <v>15854</v>
      </c>
      <c r="D14" s="12">
        <f>D6-SUM(D7:D13)</f>
        <v>23660</v>
      </c>
    </row>
    <row r="16" spans="2:4" x14ac:dyDescent="0.2">
      <c r="D16" s="13" t="s">
        <v>7</v>
      </c>
    </row>
    <row r="17" spans="1:6" x14ac:dyDescent="0.2">
      <c r="D17" s="14">
        <f>(D38-B38)/B38/20</f>
        <v>2.9096958660244737E-2</v>
      </c>
    </row>
    <row r="18" spans="1:6" x14ac:dyDescent="0.2">
      <c r="A18" s="7" t="s">
        <v>6</v>
      </c>
      <c r="B18" s="8" t="s">
        <v>3</v>
      </c>
      <c r="C18" s="8" t="s">
        <v>14</v>
      </c>
      <c r="D18" s="8" t="s">
        <v>15</v>
      </c>
    </row>
    <row r="19" spans="1:6" x14ac:dyDescent="0.2">
      <c r="A19" s="4">
        <v>1</v>
      </c>
      <c r="B19" s="6">
        <f>C14</f>
        <v>15854</v>
      </c>
      <c r="C19" s="6"/>
      <c r="D19" s="6"/>
      <c r="E19" s="3"/>
      <c r="F19" s="18"/>
    </row>
    <row r="20" spans="1:6" x14ac:dyDescent="0.2">
      <c r="A20" s="4">
        <v>2</v>
      </c>
      <c r="B20" s="6">
        <f>D14</f>
        <v>23660</v>
      </c>
      <c r="C20" s="6"/>
      <c r="D20" s="6"/>
      <c r="E20" s="3"/>
      <c r="F20" s="18"/>
    </row>
    <row r="21" spans="1:6" x14ac:dyDescent="0.2">
      <c r="A21" s="4">
        <v>3</v>
      </c>
      <c r="B21" s="6">
        <f>C6</f>
        <v>26000</v>
      </c>
      <c r="C21" s="6"/>
      <c r="D21" s="6"/>
      <c r="E21" s="3"/>
      <c r="F21" s="18"/>
    </row>
    <row r="22" spans="1:6" x14ac:dyDescent="0.2">
      <c r="A22" s="4">
        <v>4</v>
      </c>
      <c r="B22" s="6">
        <f>B21</f>
        <v>26000</v>
      </c>
      <c r="C22" s="6"/>
      <c r="D22" s="6"/>
      <c r="E22" s="3"/>
      <c r="F22" s="18"/>
    </row>
    <row r="23" spans="1:6" x14ac:dyDescent="0.2">
      <c r="A23" s="4">
        <v>5</v>
      </c>
      <c r="B23" s="6">
        <f>B22</f>
        <v>26000</v>
      </c>
      <c r="C23" s="6"/>
      <c r="D23" s="6"/>
      <c r="E23" s="3"/>
      <c r="F23" s="18"/>
    </row>
    <row r="24" spans="1:6" x14ac:dyDescent="0.2">
      <c r="A24" s="4">
        <v>6</v>
      </c>
      <c r="B24" s="6"/>
      <c r="C24" s="6"/>
      <c r="D24" s="6"/>
      <c r="E24" s="3"/>
    </row>
    <row r="25" spans="1:6" x14ac:dyDescent="0.2">
      <c r="A25" s="4">
        <v>7</v>
      </c>
      <c r="B25" s="6"/>
      <c r="C25" s="6"/>
      <c r="D25" s="6"/>
      <c r="E25" s="3"/>
    </row>
    <row r="26" spans="1:6" x14ac:dyDescent="0.2">
      <c r="A26" s="4">
        <v>8</v>
      </c>
      <c r="B26" s="6"/>
      <c r="C26" s="6"/>
      <c r="D26" s="6"/>
      <c r="E26" s="3"/>
    </row>
    <row r="27" spans="1:6" x14ac:dyDescent="0.2">
      <c r="A27" s="4">
        <v>9</v>
      </c>
      <c r="B27" s="6"/>
      <c r="C27" s="6"/>
      <c r="D27" s="6"/>
      <c r="E27" s="3"/>
    </row>
    <row r="28" spans="1:6" x14ac:dyDescent="0.2">
      <c r="A28" s="4">
        <v>10</v>
      </c>
      <c r="B28" s="6"/>
      <c r="C28" s="6"/>
      <c r="D28" s="6"/>
      <c r="E28" s="3"/>
    </row>
    <row r="29" spans="1:6" x14ac:dyDescent="0.2">
      <c r="A29" s="4">
        <v>11</v>
      </c>
      <c r="B29" s="6"/>
      <c r="C29" s="6"/>
      <c r="D29" s="6"/>
      <c r="E29" s="3"/>
    </row>
    <row r="30" spans="1:6" x14ac:dyDescent="0.2">
      <c r="A30" s="4">
        <v>12</v>
      </c>
      <c r="B30" s="6"/>
      <c r="C30" s="6"/>
      <c r="D30" s="6"/>
      <c r="E30" s="3"/>
    </row>
    <row r="31" spans="1:6" x14ac:dyDescent="0.2">
      <c r="A31" s="4">
        <v>13</v>
      </c>
      <c r="B31" s="6"/>
      <c r="C31" s="6"/>
      <c r="D31" s="6"/>
      <c r="E31" s="3"/>
    </row>
    <row r="32" spans="1:6" x14ac:dyDescent="0.2">
      <c r="A32" s="4">
        <v>14</v>
      </c>
      <c r="B32" s="6"/>
      <c r="C32" s="6"/>
      <c r="D32" s="6"/>
      <c r="E32" s="3"/>
    </row>
    <row r="33" spans="1:5" x14ac:dyDescent="0.2">
      <c r="A33" s="4">
        <v>15</v>
      </c>
      <c r="B33" s="6"/>
      <c r="C33" s="6"/>
      <c r="D33" s="6"/>
      <c r="E33" s="3"/>
    </row>
    <row r="34" spans="1:5" x14ac:dyDescent="0.2">
      <c r="A34" s="4">
        <v>16</v>
      </c>
      <c r="B34" s="6"/>
      <c r="C34" s="6"/>
      <c r="D34" s="6"/>
      <c r="E34" s="3"/>
    </row>
    <row r="35" spans="1:5" x14ac:dyDescent="0.2">
      <c r="A35" s="4">
        <v>17</v>
      </c>
      <c r="B35" s="6"/>
      <c r="C35" s="6"/>
      <c r="D35" s="6"/>
      <c r="E35" s="3"/>
    </row>
    <row r="36" spans="1:5" x14ac:dyDescent="0.2">
      <c r="A36" s="4">
        <v>18</v>
      </c>
      <c r="B36" s="6"/>
      <c r="C36" s="6"/>
      <c r="D36" s="6"/>
      <c r="E36" s="3"/>
    </row>
    <row r="37" spans="1:5" x14ac:dyDescent="0.2">
      <c r="A37" s="4">
        <v>19</v>
      </c>
      <c r="B37" s="6"/>
      <c r="C37" s="6"/>
      <c r="D37" s="6"/>
      <c r="E37" s="3"/>
    </row>
    <row r="38" spans="1:5" x14ac:dyDescent="0.2">
      <c r="A38" s="4">
        <v>20</v>
      </c>
      <c r="B38" s="6">
        <f>B19+B20+B21+B22+B23</f>
        <v>117514</v>
      </c>
      <c r="C38" s="6"/>
      <c r="D38" s="6">
        <f>C3</f>
        <v>185900</v>
      </c>
      <c r="E38" s="3"/>
    </row>
    <row r="39" spans="1:5" x14ac:dyDescent="0.2">
      <c r="B39" s="3"/>
      <c r="C39" s="3"/>
      <c r="D39" s="3"/>
      <c r="E39" s="3"/>
    </row>
    <row r="40" spans="1:5" x14ac:dyDescent="0.2">
      <c r="B40" s="3"/>
      <c r="C40" s="3"/>
      <c r="D40" s="3"/>
      <c r="E40" s="3"/>
    </row>
    <row r="41" spans="1:5" x14ac:dyDescent="0.2">
      <c r="B41" s="3"/>
      <c r="C41" s="3"/>
      <c r="D41" s="3"/>
      <c r="E41" s="3"/>
    </row>
    <row r="42" spans="1:5" x14ac:dyDescent="0.2">
      <c r="B42" s="3"/>
      <c r="C42" s="3"/>
      <c r="D42" s="3"/>
      <c r="E42" s="3"/>
    </row>
    <row r="43" spans="1:5" x14ac:dyDescent="0.2">
      <c r="B43" s="3"/>
      <c r="C43" s="3"/>
      <c r="D43" s="3"/>
      <c r="E43" s="3"/>
    </row>
    <row r="44" spans="1:5" x14ac:dyDescent="0.2">
      <c r="B44" s="3"/>
      <c r="C44" s="3"/>
      <c r="D44" s="3"/>
      <c r="E44" s="3"/>
    </row>
    <row r="45" spans="1:5" x14ac:dyDescent="0.2">
      <c r="B45" s="3"/>
      <c r="C45" s="3"/>
      <c r="D45" s="3"/>
      <c r="E45" s="3"/>
    </row>
  </sheetData>
  <pageMargins left="0.7" right="0.7" top="0.75" bottom="0.75" header="0.3" footer="0.3"/>
  <pageSetup orientation="portrait" r:id="rId1"/>
  <headerFooter>
    <oddFooter>&amp;C_x000D_&amp;1#&amp;"Calibri"&amp;10&amp;K000000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46EE88EF4AE489A6BC5082514BC71" ma:contentTypeVersion="15" ma:contentTypeDescription="Create a new document." ma:contentTypeScope="" ma:versionID="30f8496e24aca21e85924253c746bdf3">
  <xsd:schema xmlns:xsd="http://www.w3.org/2001/XMLSchema" xmlns:xs="http://www.w3.org/2001/XMLSchema" xmlns:p="http://schemas.microsoft.com/office/2006/metadata/properties" xmlns:ns2="c4b513a5-65ca-4dbc-9f3d-88c3db0a4c58" xmlns:ns3="eea2a37d-5467-4c04-ace7-c677644bbece" targetNamespace="http://schemas.microsoft.com/office/2006/metadata/properties" ma:root="true" ma:fieldsID="9de86a5d295227000d52d8cf4191b4bb" ns2:_="" ns3:_="">
    <xsd:import namespace="c4b513a5-65ca-4dbc-9f3d-88c3db0a4c58"/>
    <xsd:import namespace="eea2a37d-5467-4c04-ace7-c677644bbec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513a5-65ca-4dbc-9f3d-88c3db0a4c5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7c746ca-7c32-42b4-841c-b574ac2791bd}" ma:internalName="TaxCatchAll" ma:showField="CatchAllData" ma:web="c4b513a5-65ca-4dbc-9f3d-88c3db0a4c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a2a37d-5467-4c04-ace7-c677644bbe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c039845-d277-466e-a9af-ee1ca770c9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5D7E8A-0F41-40FE-A041-0A5AF0EDD7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287725-5B3D-4108-9ED7-3225B19A3F3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c4b513a5-65ca-4dbc-9f3d-88c3db0a4c58"/>
    <ds:schemaRef ds:uri="eea2a37d-5467-4c04-ace7-c677644bbe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MDWA B 15 - 5 pay (LP)</vt:lpstr>
      <vt:lpstr>MDWA B 15 - 5 pay (BP)</vt:lpstr>
      <vt:lpstr>MDWA B 15 - 5 pay (SBP)</vt:lpstr>
      <vt:lpstr>MDWA B 20 - 5 pay (LP)</vt:lpstr>
      <vt:lpstr>MDWA B 20 - 5 pay (BP)</vt:lpstr>
      <vt:lpstr>MDWA B 20 - 5 pay (SBP)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Mandolang</dc:creator>
  <cp:lastModifiedBy>Kenny Mandolang</cp:lastModifiedBy>
  <dcterms:created xsi:type="dcterms:W3CDTF">2015-06-05T18:17:20Z</dcterms:created>
  <dcterms:modified xsi:type="dcterms:W3CDTF">2024-09-04T05:40:55Z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aa860-6a65-4942-a19a-0478291725e1_Enabled">
    <vt:lpwstr>true</vt:lpwstr>
  </property>
  <property fmtid="{D5CDD505-2E9C-101B-9397-08002B2CF9AE}" pid="3" name="MSIP_Label_3c9aa860-6a65-4942-a19a-0478291725e1_SetDate">
    <vt:lpwstr>2024-08-09T03:02:03Z</vt:lpwstr>
  </property>
  <property fmtid="{D5CDD505-2E9C-101B-9397-08002B2CF9AE}" pid="4" name="MSIP_Label_3c9aa860-6a65-4942-a19a-0478291725e1_Method">
    <vt:lpwstr>Privileged</vt:lpwstr>
  </property>
  <property fmtid="{D5CDD505-2E9C-101B-9397-08002B2CF9AE}" pid="5" name="MSIP_Label_3c9aa860-6a65-4942-a19a-0478291725e1_Name">
    <vt:lpwstr>CONFIDENTIAL</vt:lpwstr>
  </property>
  <property fmtid="{D5CDD505-2E9C-101B-9397-08002B2CF9AE}" pid="6" name="MSIP_Label_3c9aa860-6a65-4942-a19a-0478291725e1_SiteId">
    <vt:lpwstr>5d3e2773-e07f-4432-a630-1a0f68a28a05</vt:lpwstr>
  </property>
  <property fmtid="{D5CDD505-2E9C-101B-9397-08002B2CF9AE}" pid="7" name="MSIP_Label_3c9aa860-6a65-4942-a19a-0478291725e1_ActionId">
    <vt:lpwstr>6a666888-b417-4a42-a573-5008860e2375</vt:lpwstr>
  </property>
  <property fmtid="{D5CDD505-2E9C-101B-9397-08002B2CF9AE}" pid="8" name="MSIP_Label_3c9aa860-6a65-4942-a19a-0478291725e1_ContentBits">
    <vt:lpwstr>2</vt:lpwstr>
  </property>
</Properties>
</file>