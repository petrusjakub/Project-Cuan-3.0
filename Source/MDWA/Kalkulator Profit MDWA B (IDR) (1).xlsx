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0D6C06D9-2DA6-774B-90D2-700FA4B2DD8F}" xr6:coauthVersionLast="47" xr6:coauthVersionMax="47" xr10:uidLastSave="{00000000-0000-0000-0000-000000000000}"/>
  <bookViews>
    <workbookView xWindow="0" yWindow="0" windowWidth="14400" windowHeight="15600" activeTab="5" xr2:uid="{00000000-000D-0000-FFFF-FFFF00000000}"/>
  </bookViews>
  <sheets>
    <sheet name="MDWA B 15 - 5 pay (LP)" sheetId="7" r:id="rId1"/>
    <sheet name="MDWA B 15 - 5 pay (BP)" sheetId="9" r:id="rId2"/>
    <sheet name="MDWA B 15 - 5 pay (SBP)" sheetId="6" r:id="rId3"/>
    <sheet name="MDWA B 20 - 5 pay (LP)" sheetId="11" r:id="rId4"/>
    <sheet name="MDWA B 20 - 5 pay (BP)" sheetId="10" r:id="rId5"/>
    <sheet name="MDWA B 20 - 5 pay (SBP)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9" i="1"/>
  <c r="D17" i="10"/>
  <c r="D9" i="10"/>
  <c r="D17" i="11"/>
  <c r="D9" i="11"/>
  <c r="D9" i="6"/>
  <c r="C9" i="6"/>
  <c r="D9" i="9"/>
  <c r="C9" i="9"/>
  <c r="D9" i="7"/>
  <c r="C9" i="7"/>
  <c r="D38" i="1"/>
  <c r="C9" i="1"/>
  <c r="C10" i="1"/>
  <c r="C13" i="1"/>
  <c r="C14" i="1"/>
  <c r="B19" i="1"/>
  <c r="D10" i="1"/>
  <c r="D13" i="1"/>
  <c r="D14" i="1"/>
  <c r="B20" i="1"/>
  <c r="B21" i="1"/>
  <c r="B22" i="1"/>
  <c r="B23" i="1"/>
  <c r="B38" i="1"/>
  <c r="D38" i="10"/>
  <c r="C9" i="10"/>
  <c r="C10" i="10"/>
  <c r="C12" i="10"/>
  <c r="C14" i="10"/>
  <c r="B19" i="10"/>
  <c r="D10" i="10"/>
  <c r="D12" i="10"/>
  <c r="D14" i="10"/>
  <c r="B20" i="10"/>
  <c r="B21" i="10"/>
  <c r="B22" i="10"/>
  <c r="B23" i="10"/>
  <c r="B38" i="10"/>
  <c r="D38" i="11"/>
  <c r="C9" i="11"/>
  <c r="C10" i="11"/>
  <c r="C14" i="11"/>
  <c r="B19" i="11"/>
  <c r="D10" i="11"/>
  <c r="D14" i="11"/>
  <c r="B20" i="11"/>
  <c r="B21" i="11"/>
  <c r="B22" i="11"/>
  <c r="B23" i="11"/>
  <c r="B38" i="11"/>
  <c r="D33" i="6"/>
  <c r="C10" i="6"/>
  <c r="C13" i="6"/>
  <c r="C14" i="6"/>
  <c r="B19" i="6"/>
  <c r="D10" i="6"/>
  <c r="D13" i="6"/>
  <c r="D14" i="6"/>
  <c r="B20" i="6"/>
  <c r="B21" i="6"/>
  <c r="B22" i="6"/>
  <c r="B23" i="6"/>
  <c r="B33" i="6"/>
  <c r="D17" i="6"/>
  <c r="D33" i="9"/>
  <c r="C10" i="9"/>
  <c r="C12" i="9"/>
  <c r="C14" i="9"/>
  <c r="B19" i="9"/>
  <c r="D10" i="9"/>
  <c r="D12" i="9"/>
  <c r="D14" i="9"/>
  <c r="B20" i="9"/>
  <c r="B21" i="9"/>
  <c r="B22" i="9"/>
  <c r="B23" i="9"/>
  <c r="B33" i="9"/>
  <c r="D17" i="9"/>
  <c r="D33" i="7"/>
  <c r="C10" i="7"/>
  <c r="C14" i="7"/>
  <c r="B19" i="7"/>
  <c r="D10" i="7"/>
  <c r="D14" i="7"/>
  <c r="B20" i="7"/>
  <c r="B21" i="7"/>
  <c r="B22" i="7"/>
  <c r="B23" i="7"/>
  <c r="B33" i="7"/>
  <c r="D17" i="7"/>
</calcChain>
</file>

<file path=xl/sharedStrings.xml><?xml version="1.0" encoding="utf-8"?>
<sst xmlns="http://schemas.openxmlformats.org/spreadsheetml/2006/main" count="114" uniqueCount="20">
  <si>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</si>
  <si>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</si>
  <si>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</si>
  <si>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</si>
  <si>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</si>
  <si>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</si>
  <si>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</si>
  <si>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</si>
  <si>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</si>
  <si>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</si>
  <si>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</si>
  <si>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Trip Austria (BPC)</t>
  </si>
  <si>
    <t>OR BP</t>
  </si>
  <si>
    <t>OR SBP</t>
  </si>
  <si>
    <t>Tahapan Tahunan</t>
  </si>
  <si>
    <t>Manfaat Akhir Kontrak</t>
  </si>
  <si>
    <t>Trip Austria (BCC)</t>
  </si>
  <si>
    <t>Reguler Financing</t>
  </si>
  <si>
    <t>MDWA B, IDR, Term 15 Tahun</t>
  </si>
  <si>
    <t>MDWA B, IDR, Term 20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</si>
</sst>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  <xf numFmtId="10" fontId="0" fillId="2" borderId="0" xfId="0" applyNumberFormat="1" applyFill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6" borderId="0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C231-38C8-AD42-872D-AFE3CA0EA41B}">
  <dimension ref="A2:G40"/>
  <sheetViews>
    <sheetView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5.960937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3737500000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11</v>
      </c>
      <c r="C8" s="9">
        <v>45000000</v>
      </c>
      <c r="D8" s="4"/>
    </row>
    <row r="9" spans="2:4" x14ac:dyDescent="0.2">
      <c r="B9" s="5" t="s">
        <v>0</v>
      </c>
      <c r="C9" s="17">
        <f>C6*7.5%</f>
        <v>37500000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11250000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381250000</v>
      </c>
      <c r="D14" s="12">
        <f>D6-SUM(D7:D13)</f>
        <v>467500000</v>
      </c>
    </row>
    <row r="16" spans="2:4" x14ac:dyDescent="0.2">
      <c r="D16" s="13" t="s">
        <v>7</v>
      </c>
    </row>
    <row r="17" spans="1:7" x14ac:dyDescent="0.2">
      <c r="D17" s="14">
        <f>(D33-B33)/B33/15</f>
        <v>3.9418130211105198E-2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381250000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467500000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500000000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2348750000</v>
      </c>
      <c r="C33" s="6"/>
      <c r="D33" s="6">
        <f>C3</f>
        <v>3737500000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DB6B-9C6B-2548-99C3-105A2CCD8348}">
  <dimension ref="A2:G40"/>
  <sheetViews>
    <sheetView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5.960937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3737500000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11</v>
      </c>
      <c r="C8" s="9">
        <v>45000000</v>
      </c>
      <c r="D8" s="4"/>
    </row>
    <row r="9" spans="2:4" x14ac:dyDescent="0.2">
      <c r="B9" s="5" t="s">
        <v>0</v>
      </c>
      <c r="C9" s="17">
        <f>C6*7.5%</f>
        <v>37500000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11250000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>
        <f>50%*C$9</f>
        <v>18750000</v>
      </c>
      <c r="D12" s="10">
        <f>25%*D$9</f>
        <v>6250000</v>
      </c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362500000</v>
      </c>
      <c r="D14" s="12">
        <f>D6-SUM(D7:D13)</f>
        <v>461250000</v>
      </c>
    </row>
    <row r="16" spans="2:4" x14ac:dyDescent="0.2">
      <c r="D16" s="13" t="s">
        <v>7</v>
      </c>
    </row>
    <row r="17" spans="1:7" x14ac:dyDescent="0.2">
      <c r="D17" s="14">
        <f>(D33-B33)/B33/15</f>
        <v>4.0559440559440565E-2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362500000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461250000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500000000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2323750000</v>
      </c>
      <c r="C33" s="6"/>
      <c r="D33" s="6">
        <f>C3</f>
        <v>3737500000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07D2-C914-E24A-A8EC-CA9288855A75}">
  <dimension ref="A2:G40"/>
  <sheetViews>
    <sheetView topLeftCell="A4" workbookViewId="0">
      <selection activeCell="C6" sqref="C6"/>
    </sheetView>
  </sheetViews>
  <sheetFormatPr defaultColWidth="9.14453125" defaultRowHeight="15" x14ac:dyDescent="0.2"/>
  <cols>
    <col min="1" max="1" width="9.14453125" style="1"/>
    <col min="2" max="2" width="26.3632812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3737500000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11</v>
      </c>
      <c r="C8" s="9">
        <v>45000000</v>
      </c>
      <c r="D8" s="4"/>
    </row>
    <row r="9" spans="2:4" x14ac:dyDescent="0.2">
      <c r="B9" s="5" t="s">
        <v>0</v>
      </c>
      <c r="C9" s="17">
        <f>C6*7.5%</f>
        <v>37500000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11250000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>
        <f>100%*C9</f>
        <v>37500000</v>
      </c>
      <c r="D13" s="10">
        <f>50%*D9</f>
        <v>12500000</v>
      </c>
    </row>
    <row r="14" spans="2:4" x14ac:dyDescent="0.2">
      <c r="B14" s="11" t="s">
        <v>2</v>
      </c>
      <c r="C14" s="12">
        <f>C6-SUM(C7:C13)</f>
        <v>343750000</v>
      </c>
      <c r="D14" s="12">
        <f>D6-SUM(D7:D13)</f>
        <v>455000000</v>
      </c>
    </row>
    <row r="16" spans="2:4" x14ac:dyDescent="0.2">
      <c r="D16" s="13" t="s">
        <v>7</v>
      </c>
    </row>
    <row r="17" spans="1:7" x14ac:dyDescent="0.2">
      <c r="D17" s="14">
        <f>(D33-B33)/B33/15</f>
        <v>4.1725575493927858E-2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343750000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455000000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500000000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2298750000</v>
      </c>
      <c r="C33" s="6"/>
      <c r="D33" s="6">
        <f>C3</f>
        <v>3737500000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A5C-D427-8D4D-8693-726C41290907}">
  <sheetPr codeName="Sheet1"/>
  <dimension ref="A2:F45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1"/>
    <col min="2" max="2" width="26.0976562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4900000000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16</v>
      </c>
      <c r="C8" s="9">
        <v>45000000</v>
      </c>
      <c r="D8" s="4"/>
    </row>
    <row r="9" spans="2:4" x14ac:dyDescent="0.2">
      <c r="B9" s="5" t="s">
        <v>0</v>
      </c>
      <c r="C9" s="17">
        <f>C6*10%</f>
        <v>50000000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15000000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365000000</v>
      </c>
      <c r="D14" s="12">
        <f>D6-SUM(D7:D13)</f>
        <v>467500000</v>
      </c>
    </row>
    <row r="16" spans="2:4" x14ac:dyDescent="0.2">
      <c r="D16" s="13" t="s">
        <v>7</v>
      </c>
    </row>
    <row r="17" spans="1:6" x14ac:dyDescent="0.2">
      <c r="D17" s="14">
        <f>(D38-B38)/B38/20</f>
        <v>5.5037513397642013E-2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365000000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467500000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500000000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500000000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500000000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2332500000</v>
      </c>
      <c r="C38" s="6"/>
      <c r="D38" s="6">
        <f>C3</f>
        <v>4900000000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F664-71DB-6749-AED5-E13F698021F7}">
  <sheetPr codeName="Sheet1"/>
  <dimension ref="A2:F45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1"/>
    <col min="2" max="2" width="26.0976562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4900000000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16</v>
      </c>
      <c r="C8" s="9">
        <v>45000000</v>
      </c>
      <c r="D8" s="4"/>
    </row>
    <row r="9" spans="2:4" x14ac:dyDescent="0.2">
      <c r="B9" s="5" t="s">
        <v>0</v>
      </c>
      <c r="C9" s="17">
        <f>C6*10%</f>
        <v>50000000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15000000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>
        <f>50%*C9</f>
        <v>25000000</v>
      </c>
      <c r="D12" s="10">
        <f>25%*D9</f>
        <v>6250000</v>
      </c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340000000</v>
      </c>
      <c r="D14" s="12">
        <f>D6-SUM(D7:D13)</f>
        <v>461250000</v>
      </c>
    </row>
    <row r="16" spans="2:4" x14ac:dyDescent="0.2">
      <c r="D16" s="13" t="s">
        <v>7</v>
      </c>
    </row>
    <row r="17" spans="1:6" x14ac:dyDescent="0.2">
      <c r="D17" s="14">
        <f>(D38-B38)/B38/20</f>
        <v>5.6463878326996196E-2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340000000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461250000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500000000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500000000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500000000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2301250000</v>
      </c>
      <c r="C38" s="6"/>
      <c r="D38" s="6">
        <f>C3</f>
        <v>4900000000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45"/>
  <sheetViews>
    <sheetView tabSelected="1" topLeftCell="A18" workbookViewId="0">
      <selection activeCell="D17" sqref="D17"/>
    </sheetView>
  </sheetViews>
  <sheetFormatPr defaultColWidth="9.14453125" defaultRowHeight="15" x14ac:dyDescent="0.2"/>
  <cols>
    <col min="1" max="1" width="9.14453125" style="1"/>
    <col min="2" max="2" width="26.23046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4900000000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500000000</v>
      </c>
      <c r="D6" s="16">
        <v>500000000</v>
      </c>
    </row>
    <row r="7" spans="2:4" x14ac:dyDescent="0.2">
      <c r="B7" s="5" t="s">
        <v>10</v>
      </c>
      <c r="C7" s="9">
        <v>25000000</v>
      </c>
      <c r="D7" s="4"/>
    </row>
    <row r="8" spans="2:4" x14ac:dyDescent="0.2">
      <c r="B8" s="5" t="s">
        <v>16</v>
      </c>
      <c r="C8" s="9">
        <v>45000000</v>
      </c>
      <c r="D8" s="4"/>
    </row>
    <row r="9" spans="2:4" x14ac:dyDescent="0.2">
      <c r="B9" s="5" t="s">
        <v>0</v>
      </c>
      <c r="C9" s="17">
        <f>C6*10%</f>
        <v>50000000</v>
      </c>
      <c r="D9" s="17">
        <f>D6*5%</f>
        <v>25000000</v>
      </c>
    </row>
    <row r="10" spans="2:4" x14ac:dyDescent="0.2">
      <c r="B10" s="5" t="s">
        <v>1</v>
      </c>
      <c r="C10" s="10">
        <f>30%*C9</f>
        <v>15000000</v>
      </c>
      <c r="D10" s="10">
        <f>30%*D9</f>
        <v>7500000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>
        <f>100%*C9</f>
        <v>50000000</v>
      </c>
      <c r="D13" s="10">
        <f>50%*D9</f>
        <v>12500000</v>
      </c>
    </row>
    <row r="14" spans="2:4" x14ac:dyDescent="0.2">
      <c r="B14" s="11" t="s">
        <v>2</v>
      </c>
      <c r="C14" s="12">
        <f>C6-SUM(C7:C13)</f>
        <v>315000000</v>
      </c>
      <c r="D14" s="12">
        <f>D6-SUM(D7:D13)</f>
        <v>455000000</v>
      </c>
    </row>
    <row r="16" spans="2:4" x14ac:dyDescent="0.2">
      <c r="D16" s="13" t="s">
        <v>7</v>
      </c>
    </row>
    <row r="17" spans="1:6" x14ac:dyDescent="0.2">
      <c r="D17" s="14">
        <f>(D38-B38)/B38/20</f>
        <v>5.7929515418502199E-2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315000000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455000000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500000000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500000000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500000000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2270000000</v>
      </c>
      <c r="C38" s="6"/>
      <c r="D38" s="6">
        <f>C3</f>
        <v>4900000000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MDWA B 15 - 5 pay (LP)</vt:lpstr>
      <vt:lpstr>MDWA B 15 - 5 pay (BP)</vt:lpstr>
      <vt:lpstr>MDWA B 15 - 5 pay (SBP)</vt:lpstr>
      <vt:lpstr>MDWA B 20 - 5 pay (LP)</vt:lpstr>
      <vt:lpstr>MDWA B 20 - 5 pay (BP)</vt:lpstr>
      <vt:lpstr>MDWA B 20 - 5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